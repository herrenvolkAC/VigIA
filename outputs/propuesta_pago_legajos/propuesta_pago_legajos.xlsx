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3790692e9d48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2596bced2b234439"/>
    <x:sheet xmlns:r="http://schemas.openxmlformats.org/officeDocument/2006/relationships" name="Detalle legajos" sheetId="2" r:id="R9e85f94cd18249e5"/>
    <x:sheet xmlns:r="http://schemas.openxmlformats.org/officeDocument/2006/relationships" name="Metodología" sheetId="3" r:id="R36af916dbe5d44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%"/>
    <x:numFmt numFmtId="201" formatCode="$#,##0.00"/>
    <x:numFmt numFmtId="202" formatCode="#,##0.00"/>
    <x:numFmt numFmtId="203" formatCode="0.00%"/>
    <x:numFmt numFmtId="204" formatCode="#,##0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404040"/>
      <x:name val="Carlito"/>
    </x:font>
    <x:font>
      <x:b/>
      <x:sz val="14"/>
      <x:color rgb="FFFFFFFF"/>
      <x:name val="Carlito"/>
    </x:font>
    <x:font>
      <x:i/>
      <x:sz val="11"/>
      <x:color rgb="FF40404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2F75B5"/>
      </x:patternFill>
    </x:fill>
    <x:fill>
      <x:patternFill patternType="solid">
        <x:fgColor rgb="FFD9EAF7"/>
      </x:patternFill>
    </x:fill>
    <x:fill>
      <x:patternFill patternType="solid">
        <x:fgColor rgb="FFF7FBFF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3" borderId="1" xfId="0" applyNumberFormat="1" applyFont="1" applyFill="1" applyBorder="1"/>
    <x:xf numFmtId="0" fontId="3" fillId="0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0" fillId="0" borderId="0" xfId="0" applyNumberFormat="1" applyFont="1" applyFill="1" applyBorder="1"/>
  </x:cellXfs>
  <x:cellStyles count="1">
    <x:cellStyle name="Normal" xfId="0"/>
  </x:cellStyles>
  <x:dxfs count="2">
    <x:dxf>
      <x:font>
        <x:color rgb="FFB91C1C"/>
      </x:font>
      <x:fill>
        <x:patternFill patternType="solid">
          <x:bgColor rgb="FFFDECEC"/>
        </x:patternFill>
      </x:fill>
    </x:dxf>
    <x:dxf>
      <x:font>
        <x:color rgb="FFB91C1C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b775d84c8c4ee0" /><Relationship Type="http://schemas.openxmlformats.org/officeDocument/2006/relationships/theme" Target="/xl/theme/theme1.xml" Id="Ra8b804a9494947ec" /><Relationship Type="http://schemas.openxmlformats.org/officeDocument/2006/relationships/sharedStrings" Target="/xl/sharedStrings.xml" Id="R6323d27ac1994112" /><Relationship Type="http://schemas.openxmlformats.org/officeDocument/2006/relationships/worksheet" Target="/xl/worksheets/sheet1.xml" Id="R2596bced2b234439" /><Relationship Type="http://schemas.openxmlformats.org/officeDocument/2006/relationships/worksheet" Target="/xl/worksheets/sheet2.xml" Id="R9e85f94cd18249e5" /><Relationship Type="http://schemas.openxmlformats.org/officeDocument/2006/relationships/worksheet" Target="/xl/worksheets/sheet3.xml" Id="R36af916dbe5d4468" /></Relationships>
</file>

<file path=xl/tables/table1.xml><?xml version="1.0" encoding="utf-8"?>
<x:table xmlns:x="http://schemas.openxmlformats.org/spreadsheetml/2006/main" id="1" name="DetallePropuesta" displayName="DetallePropuesta" ref="A5:V337" headerRowCount="1" totalsRowCount="0" totalsRowShown="0">
  <x:tableColumns count="22">
    <x:tableColumn id="1" name="Legajo"/>
    <x:tableColumn id="2" name="Días actividad"/>
    <x:tableColumn id="3" name="Bultos reales"/>
    <x:tableColumn id="4" name="Bultos/día"/>
    <x:tableColumn id="5" name="Intensidad"/>
    <x:tableColumn id="6" name="Constancia"/>
    <x:tableColumn id="7" name="Score esfuerzo/constancia"/>
    <x:tableColumn id="8" name="Pago actual"/>
    <x:tableColumn id="9" name="Individual actual"/>
    <x:tableColumn id="10" name="Brecha positiva"/>
    <x:tableColumn id="11" name="Necesidad ponderada"/>
    <x:tableColumn id="12" name="Incentivo individual"/>
    <x:tableColumn id="13" name="Individual propuesto"/>
    <x:tableColumn id="14" name="Adic. grupal bultos 100%"/>
    <x:tableColumn id="15" name="Adic. grupal bultos 30%"/>
    <x:tableColumn id="16" name="Final propuesta bultos"/>
    <x:tableColumn id="17" name="Dif. bultos vs actual"/>
    <x:tableColumn id="18" name="Adic. grupal horas 100%"/>
    <x:tableColumn id="19" name="Adic. grupal horas 30%"/>
    <x:tableColumn id="20" name="Final propuesta horas"/>
    <x:tableColumn id="21" name="Dif. horas vs actual"/>
    <x:tableColumn id="22" name="Días grup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38af4aaef22484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3" t="str">
        <x:v>Propuesta de pago individual + adicional grupal</x:v>
      </x:c>
      <x:c r="B1" s="3"/>
      <x:c r="C1" s="3"/>
      <x:c r="D1" s="3"/>
      <x:c r="E1" s="3"/>
      <x:c r="F1" s="3"/>
    </x:row>
    <x:row r="3">
      <x:c r="A3" s="9" t="str">
        <x:v>Parámetro</x:v>
      </x:c>
      <x:c r="B3" s="9" t="str">
        <x:v>Valor</x:v>
      </x:c>
    </x:row>
    <x:row r="4">
      <x:c r="A4" s="10" t="str">
        <x:v>Período</x:v>
      </x:c>
      <x:c r="B4" s="11" t="str">
        <x:v>2026-07-01 a 2026-07-31</x:v>
      </x:c>
    </x:row>
    <x:row r="5">
      <x:c r="A5" s="10" t="str">
        <x:v>Snapshot Punto 0</x:v>
      </x:c>
      <x:c r="B5" s="11" t="str">
        <x:v>P0_67b74cef3f876ed7_20260807134332</x:v>
      </x:c>
    </x:row>
    <x:row r="6">
      <x:c r="A6" s="10" t="str">
        <x:v>Legajos evaluados</x:v>
      </x:c>
      <x:c r="B6" s="11" t="n">
        <x:f>COUNTA('Detalle legajos'!A6:A337)</x:f>
        <x:v>332</x:v>
      </x:c>
    </x:row>
    <x:row r="7">
      <x:c r="A7" s="10" t="str">
        <x:v>Bolsa asignada a individual</x:v>
      </x:c>
      <x:c r="B7" s="12" t="n">
        <x:v>0.7</x:v>
      </x:c>
    </x:row>
    <x:row r="8">
      <x:c r="A8" s="10" t="str">
        <x:v>Bolsa asignada a grupal</x:v>
      </x:c>
      <x:c r="B8" s="12" t="n">
        <x:v>0.3</x:v>
      </x:c>
    </x:row>
    <x:row r="9">
      <x:c r="A9" s="10" t="str">
        <x:v>Peso esfuerzo / intensidad</x:v>
      </x:c>
      <x:c r="B9" s="12" t="n">
        <x:v>0.7</x:v>
      </x:c>
    </x:row>
    <x:row r="10">
      <x:c r="A10" s="10" t="str">
        <x:v>Peso constancia</x:v>
      </x:c>
      <x:c r="B10" s="12" t="n">
        <x:v>0.3</x:v>
      </x:c>
    </x:row>
    <x:row r="11">
      <x:c r="A11" s="10" t="str">
        <x:v>Pago actual total</x:v>
      </x:c>
      <x:c r="B11" s="13" t="n">
        <x:f>SUM('Detalle legajos'!H6:H337)</x:f>
        <x:v>50893571.33999999</x:v>
      </x:c>
    </x:row>
    <x:row r="12">
      <x:c r="A12" s="10" t="str">
        <x:v>Individual actual total</x:v>
      </x:c>
      <x:c r="B12" s="13" t="n">
        <x:f>SUM('Detalle legajos'!I6:I337)</x:f>
        <x:v>37774882.83999994</x:v>
      </x:c>
    </x:row>
    <x:row r="13">
      <x:c r="A13" s="10" t="str">
        <x:v>Brecha total actual - individual</x:v>
      </x:c>
      <x:c r="B13" s="13" t="n">
        <x:f>B11-B12</x:f>
        <x:v>13118688.500000052</x:v>
      </x:c>
    </x:row>
    <x:row r="14">
      <x:c r="A14" s="10" t="str">
        <x:v>Pool incentivo individual</x:v>
      </x:c>
      <x:c r="B14" s="13" t="n">
        <x:f>B13*B7</x:f>
        <x:v>9183081.950000037</x:v>
      </x:c>
    </x:row>
    <x:row r="15">
      <x:c r="A15" s="10" t="str">
        <x:v>Pool grupal adicional</x:v>
      </x:c>
      <x:c r="B15" s="13" t="n">
        <x:f>B13*B8</x:f>
        <x:v>3935606.5500000156</x:v>
      </x:c>
    </x:row>
    <x:row r="16">
      <x:c r="A16" s="10" t="str">
        <x:v>Individual propuesto total</x:v>
      </x:c>
      <x:c r="B16" s="13" t="n">
        <x:f>SUM('Detalle legajos'!M6:M337)</x:f>
        <x:v>46957964.78999995</x:v>
      </x:c>
    </x:row>
    <x:row r="17">
      <x:c r="A17" s="10" t="str">
        <x:v>Grupal bultos propuesto total</x:v>
      </x:c>
      <x:c r="B17" s="13" t="n">
        <x:f>SUM('Detalle legajos'!O6:O337)</x:f>
        <x:v>3935606.55</x:v>
      </x:c>
    </x:row>
    <x:row r="18">
      <x:c r="A18" s="10" t="str">
        <x:v>Pago final propuesto bultos</x:v>
      </x:c>
      <x:c r="B18" s="13" t="n">
        <x:f>SUM('Detalle legajos'!P6:P337)</x:f>
        <x:v>50893571.33999995</x:v>
      </x:c>
    </x:row>
    <x:row r="19">
      <x:c r="A19" s="10" t="str">
        <x:v>Grupal horas propuesto total</x:v>
      </x:c>
      <x:c r="B19" s="13" t="n">
        <x:f>SUM('Detalle legajos'!S6:S337)</x:f>
        <x:v>3935606.523</x:v>
      </x:c>
    </x:row>
    <x:row r="20">
      <x:c r="A20" s="10" t="str">
        <x:v>Pago final propuesto horas</x:v>
      </x:c>
      <x:c r="B20" s="13" t="n">
        <x:f>SUM('Detalle legajos'!T6:T337)</x:f>
        <x:v>50893571.31299996</x:v>
      </x:c>
    </x:row>
    <x:row r="23">
      <x:c r="A23" s="15" t="str">
        <x:v>Lectura ejecutiva</x:v>
      </x:c>
      <x:c r="B23" s="15"/>
      <x:c r="C23" s="15"/>
      <x:c r="D23" s="15"/>
      <x:c r="E23" s="15"/>
      <x:c r="F23" s="15"/>
    </x:row>
    <x:row r="24">
      <x:c r="A24" s="18" t="str">
        <x:v>El individual propuesto usa el 70% de la brecha global y lo reparte según necesidad de convergencia ponderada por esfuerzo/intensidad (70%) y constancia operativa (30%).</x:v>
      </x:c>
      <x:c r="B24" s="18"/>
      <x:c r="C24" s="18"/>
      <x:c r="D24" s="18"/>
      <x:c r="E24" s="18"/>
      <x:c r="F24" s="18"/>
    </x:row>
    <x:row r="25">
      <x:c r="A25" s="18" t="str">
        <x:v>El grupal queda como adicional separado y recibe el 30% restante. Bultos y horas son alternativas, no se suman.</x:v>
      </x:c>
      <x:c r="B25" s="18"/>
      <x:c r="C25" s="18"/>
      <x:c r="D25" s="18"/>
      <x:c r="E25" s="18"/>
      <x:c r="F25" s="18"/>
    </x:row>
    <x:row r="26">
      <x:c r="A26" s="18" t="str">
        <x:v>El incentivo no supera la brecha positiva de cada legajo y se asigna con una regla común basada en desempeño.</x:v>
      </x:c>
      <x:c r="B26" s="18"/>
      <x:c r="C26" s="18"/>
      <x:c r="D26" s="18"/>
      <x:c r="E26" s="18"/>
      <x:c r="F26" s="18"/>
    </x:row>
    <x:row r="27">
      <x:c r="A27" s="18" t="str">
        <x:v>La constancia usa días con actividad del snapshot; antes de producción conviene contrastarla con días programados y ausencias.</x:v>
      </x:c>
      <x:c r="B27" s="18"/>
      <x:c r="C27" s="18"/>
      <x:c r="D27" s="18"/>
      <x:c r="E27" s="18"/>
      <x:c r="F27" s="18"/>
    </x:row>
  </x:sheetData>
  <x:mergeCells>
    <x:mergeCell ref="A1:F1"/>
    <x:mergeCell ref="A23:F23"/>
    <x:mergeCell ref="A24:F24"/>
    <x:mergeCell ref="A25:F25"/>
    <x:mergeCell ref="A26:F26"/>
    <x:mergeCell ref="A27:F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4" hidden="0" customWidth="1"/>
    <x:col min="4" max="4" width="12" hidden="0" customWidth="1"/>
    <x:col min="5" max="5" width="11" hidden="0" customWidth="1"/>
    <x:col min="6" max="6" width="11" hidden="0" customWidth="1"/>
    <x:col min="7" max="7" width="18" hidden="0" customWidth="1"/>
    <x:col min="8" max="8" width="15" hidden="0" customWidth="1"/>
    <x:col min="9" max="9" width="16" hidden="0" customWidth="1"/>
    <x:col min="10" max="10" width="15" hidden="0" customWidth="1"/>
    <x:col min="11" max="11" width="17" hidden="0" customWidth="1"/>
    <x:col min="12" max="12" width="16" hidden="0" customWidth="1"/>
    <x:col min="13" max="13" width="17" hidden="0" customWidth="1"/>
    <x:col min="14" max="14" width="18" hidden="0" customWidth="1"/>
    <x:col min="15" max="15" width="18" hidden="0" customWidth="1"/>
    <x:col min="16" max="16" width="18" hidden="0" customWidth="1"/>
    <x:col min="17" max="17" width="17" hidden="0" customWidth="1"/>
    <x:col min="18" max="18" width="18" hidden="0" customWidth="1"/>
    <x:col min="19" max="19" width="18" hidden="0" customWidth="1"/>
    <x:col min="20" max="20" width="18" hidden="0" customWidth="1"/>
    <x:col min="21" max="21" width="17" hidden="0" customWidth="1"/>
    <x:col min="22" max="22" width="11" hidden="0" customWidth="1"/>
  </x:cols>
  <x:sheetData>
    <x:row r="1">
      <x:c r="A1" s="20" t="str">
        <x:v>Detalle por legajo — escenario esfuerzo/constancia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  <x:c r="M1" s="20"/>
      <x:c r="N1" s="20"/>
      <x:c r="O1" s="20"/>
      <x:c r="P1" s="20"/>
      <x:c r="Q1" s="20"/>
      <x:c r="R1" s="20"/>
      <x:c r="S1" s="20"/>
      <x:c r="T1" s="20"/>
      <x:c r="U1" s="20"/>
      <x:c r="V1" s="20"/>
    </x:row>
    <x:row r="3">
      <x:c r="A3" s="22" t="str">
        <x:v>70% de la brecha para incentivo individual; 30% para adicional grupal. El incentivo se distribuye por necesidad × score de esfuerzo/constancia.</x:v>
      </x:c>
      <x:c r="B3" s="22"/>
      <x:c r="C3" s="22"/>
      <x:c r="D3" s="22"/>
      <x:c r="E3" s="22"/>
      <x:c r="F3" s="22"/>
      <x:c r="G3" s="22"/>
      <x:c r="H3" s="22"/>
      <x:c r="I3" s="22"/>
      <x:c r="J3" s="22"/>
      <x:c r="K3" s="22"/>
      <x:c r="L3" s="22"/>
      <x:c r="M3" s="22"/>
      <x:c r="N3" s="22"/>
      <x:c r="O3" s="22"/>
      <x:c r="P3" s="22"/>
      <x:c r="Q3" s="22"/>
      <x:c r="R3" s="22"/>
      <x:c r="S3" s="22"/>
      <x:c r="T3" s="22"/>
      <x:c r="U3" s="22"/>
      <x:c r="V3" s="22"/>
    </x:row>
    <x:row r="5">
      <x:c r="A5" s="24" t="str">
        <x:v>Legajo</x:v>
      </x:c>
      <x:c r="B5" s="24" t="str">
        <x:v>Días actividad</x:v>
      </x:c>
      <x:c r="C5" s="24" t="str">
        <x:v>Bultos reales</x:v>
      </x:c>
      <x:c r="D5" s="24" t="str">
        <x:v>Bultos/día</x:v>
      </x:c>
      <x:c r="E5" s="24" t="str">
        <x:v>Intensidad</x:v>
      </x:c>
      <x:c r="F5" s="24" t="str">
        <x:v>Constancia</x:v>
      </x:c>
      <x:c r="G5" s="24" t="str">
        <x:v>Score esfuerzo/constancia</x:v>
      </x:c>
      <x:c r="H5" s="24" t="str">
        <x:v>Pago actual</x:v>
      </x:c>
      <x:c r="I5" s="24" t="str">
        <x:v>Individual actual</x:v>
      </x:c>
      <x:c r="J5" s="24" t="str">
        <x:v>Brecha positiva</x:v>
      </x:c>
      <x:c r="K5" s="24" t="str">
        <x:v>Necesidad ponderada</x:v>
      </x:c>
      <x:c r="L5" s="24" t="str">
        <x:v>Incentivo individual</x:v>
      </x:c>
      <x:c r="M5" s="24" t="str">
        <x:v>Individual propuesto</x:v>
      </x:c>
      <x:c r="N5" s="24" t="str">
        <x:v>Adic. grupal bultos 100%</x:v>
      </x:c>
      <x:c r="O5" s="24" t="str">
        <x:v>Adic. grupal bultos 30%</x:v>
      </x:c>
      <x:c r="P5" s="24" t="str">
        <x:v>Final propuesta bultos</x:v>
      </x:c>
      <x:c r="Q5" s="24" t="str">
        <x:v>Dif. bultos vs actual</x:v>
      </x:c>
      <x:c r="R5" s="24" t="str">
        <x:v>Adic. grupal horas 100%</x:v>
      </x:c>
      <x:c r="S5" s="24" t="str">
        <x:v>Adic. grupal horas 30%</x:v>
      </x:c>
      <x:c r="T5" s="24" t="str">
        <x:v>Final propuesta horas</x:v>
      </x:c>
      <x:c r="U5" s="24" t="str">
        <x:v>Dif. horas vs actual</x:v>
      </x:c>
      <x:c r="V5" s="24" t="str">
        <x:v>Días grupal</x:v>
      </x:c>
    </x:row>
    <x:row r="6">
      <x:c r="A6" s="28" t="str">
        <x:v>118364</x:v>
      </x:c>
      <x:c r="B6" s="25" t="n">
        <x:v>18</x:v>
      </x:c>
      <x:c r="C6" s="25" t="n">
        <x:v>10195</x:v>
      </x:c>
      <x:c r="D6" s="25" t="n">
        <x:f>IF(B6=0,0,C6/B6)</x:f>
        <x:v>566.3888888888889</x:v>
      </x:c>
      <x:c r="E6" s="26" t="n">
        <x:f>IF(D6=0,0,D6/MAX($D$6:$D$337))</x:f>
        <x:v>0.40522508403743074</x:v>
      </x:c>
      <x:c r="F6" s="26" t="n">
        <x:f>IF(B6=0,0,B6/MAX($B$6:$B$337))</x:f>
        <x:v>0.6428571428571429</x:v>
      </x:c>
      <x:c r="G6" s="26" t="n">
        <x:f>'Resumen'!$B$9*E6+'Resumen'!$B$10*F6</x:f>
        <x:v>0.4765147016833443</x:v>
      </x:c>
      <x:c r="H6" s="8" t="n">
        <x:v>174746.52</x:v>
      </x:c>
      <x:c r="I6" s="8" t="n">
        <x:v>146791.71000000002</x:v>
      </x:c>
      <x:c r="J6" s="8" t="n">
        <x:f>MAX(H6-I6,0)</x:f>
        <x:v>27954.80999999997</x:v>
      </x:c>
      <x:c r="K6" s="8" t="n">
        <x:f>J6*G6</x:f>
        <x:v>13320.877947764555</x:v>
      </x:c>
      <x:c r="L6" s="8" t="n">
        <x:f>IFERROR('Resumen'!$B$14*K6/SUM($K$6:$K$337),0)</x:f>
        <x:v>9648.691992439053</x:v>
      </x:c>
      <x:c r="M6" s="8" t="n">
        <x:f>I6+L6</x:f>
        <x:v>156440.40199243906</x:v>
      </x:c>
      <x:c r="N6" s="8" t="n">
        <x:v>0</x:v>
      </x:c>
      <x:c r="O6" s="8" t="n">
        <x:f>N6*'Resumen'!$B$8</x:f>
        <x:v>0</x:v>
      </x:c>
      <x:c r="P6" s="8" t="n">
        <x:f>M6+O6</x:f>
        <x:v>156440.40199243906</x:v>
      </x:c>
      <x:c r="Q6" s="8" t="n">
        <x:f>P6-H6</x:f>
        <x:v>-18306.11800756093</x:v>
      </x:c>
      <x:c r="R6" s="8" t="n">
        <x:v>0</x:v>
      </x:c>
      <x:c r="S6" s="8" t="n">
        <x:f>R6*'Resumen'!$B$8</x:f>
        <x:v>0</x:v>
      </x:c>
      <x:c r="T6" s="8" t="n">
        <x:f>M6+S6</x:f>
        <x:v>156440.40199243906</x:v>
      </x:c>
      <x:c r="U6" s="8" t="n">
        <x:f>T6-H6</x:f>
        <x:v>-18306.11800756093</x:v>
      </x:c>
      <x:c r="V6" s="27" t="n">
        <x:v>0</x:v>
      </x:c>
    </x:row>
    <x:row r="7">
      <x:c r="A7" s="28" t="str">
        <x:v>123209</x:v>
      </x:c>
      <x:c r="B7" s="25" t="n">
        <x:v>4</x:v>
      </x:c>
      <x:c r="C7" s="25" t="n">
        <x:v>0</x:v>
      </x:c>
      <x:c r="D7" s="25" t="n">
        <x:f>IF(B7=0,0,C7/B7)</x:f>
        <x:v>0</x:v>
      </x:c>
      <x:c r="E7" s="26" t="n">
        <x:f>IF(D7=0,0,D7/MAX($D$6:$D$337))</x:f>
        <x:v>0</x:v>
      </x:c>
      <x:c r="F7" s="26" t="n">
        <x:f>IF(B7=0,0,B7/MAX($B$6:$B$337))</x:f>
        <x:v>0.14285714285714285</x:v>
      </x:c>
      <x:c r="G7" s="26" t="n">
        <x:f>'Resumen'!$B$9*E7+'Resumen'!$B$10*F7</x:f>
        <x:v>0.04285714285714285</x:v>
      </x:c>
      <x:c r="H7" s="8" t="n">
        <x:v>0</x:v>
      </x:c>
      <x:c r="I7" s="8" t="n">
        <x:v>0</x:v>
      </x:c>
      <x:c r="J7" s="8" t="n">
        <x:f>MAX(H7-I7,0)</x:f>
        <x:v>0</x:v>
      </x:c>
      <x:c r="K7" s="8" t="n">
        <x:f>J7*G7</x:f>
        <x:v>0</x:v>
      </x:c>
      <x:c r="L7" s="8" t="n">
        <x:f>IFERROR('Resumen'!$B$14*K7/SUM($K$6:$K$337),0)</x:f>
        <x:v>0</x:v>
      </x:c>
      <x:c r="M7" s="8" t="n">
        <x:f>I7+L7</x:f>
        <x:v>0</x:v>
      </x:c>
      <x:c r="N7" s="8" t="n">
        <x:v>0</x:v>
      </x:c>
      <x:c r="O7" s="8" t="n">
        <x:f>N7*'Resumen'!$B$8</x:f>
        <x:v>0</x:v>
      </x:c>
      <x:c r="P7" s="8" t="n">
        <x:f>M7+O7</x:f>
        <x:v>0</x:v>
      </x:c>
      <x:c r="Q7" s="8" t="n">
        <x:f>P7-H7</x:f>
        <x:v>0</x:v>
      </x:c>
      <x:c r="R7" s="8" t="n">
        <x:v>0</x:v>
      </x:c>
      <x:c r="S7" s="8" t="n">
        <x:f>R7*'Resumen'!$B$8</x:f>
        <x:v>0</x:v>
      </x:c>
      <x:c r="T7" s="8" t="n">
        <x:f>M7+S7</x:f>
        <x:v>0</x:v>
      </x:c>
      <x:c r="U7" s="8" t="n">
        <x:f>T7-H7</x:f>
        <x:v>0</x:v>
      </x:c>
      <x:c r="V7" s="27" t="n">
        <x:v>0</x:v>
      </x:c>
    </x:row>
    <x:row r="8">
      <x:c r="A8" s="28" t="str">
        <x:v>124819</x:v>
      </x:c>
      <x:c r="B8" s="25" t="n">
        <x:v>13</x:v>
      </x:c>
      <x:c r="C8" s="25" t="n">
        <x:v>10192</x:v>
      </x:c>
      <x:c r="D8" s="25" t="n">
        <x:f>IF(B8=0,0,C8/B8)</x:f>
        <x:v>784</x:v>
      </x:c>
      <x:c r="E8" s="26" t="n">
        <x:f>IF(D8=0,0,D8/MAX($D$6:$D$337))</x:f>
        <x:v>0.5609157808667211</x:v>
      </x:c>
      <x:c r="F8" s="26" t="n">
        <x:f>IF(B8=0,0,B8/MAX($B$6:$B$337))</x:f>
        <x:v>0.4642857142857143</x:v>
      </x:c>
      <x:c r="G8" s="26" t="n">
        <x:f>'Resumen'!$B$9*E8+'Resumen'!$B$10*F8</x:f>
        <x:v>0.531926760892419</x:v>
      </x:c>
      <x:c r="H8" s="8" t="n">
        <x:v>59795.22</x:v>
      </x:c>
      <x:c r="I8" s="8" t="n">
        <x:v>108160.54000000001</x:v>
      </x:c>
      <x:c r="J8" s="8" t="n">
        <x:f>MAX(H8-I8,0)</x:f>
        <x:v>0</x:v>
      </x:c>
      <x:c r="K8" s="8" t="n">
        <x:f>J8*G8</x:f>
        <x:v>0</x:v>
      </x:c>
      <x:c r="L8" s="8" t="n">
        <x:f>IFERROR('Resumen'!$B$14*K8/SUM($K$6:$K$337),0)</x:f>
        <x:v>0</x:v>
      </x:c>
      <x:c r="M8" s="8" t="n">
        <x:f>I8+L8</x:f>
        <x:v>108160.54000000001</x:v>
      </x:c>
      <x:c r="N8" s="8" t="n">
        <x:v>276636.63999999996</x:v>
      </x:c>
      <x:c r="O8" s="8" t="n">
        <x:f>N8*'Resumen'!$B$8</x:f>
        <x:v>82990.99199999998</x:v>
      </x:c>
      <x:c r="P8" s="8" t="n">
        <x:f>M8+O8</x:f>
        <x:v>191151.532</x:v>
      </x:c>
      <x:c r="Q8" s="8" t="n">
        <x:f>P8-H8</x:f>
        <x:v>131356.312</x:v>
      </x:c>
      <x:c r="R8" s="8" t="n">
        <x:v>330688.7</x:v>
      </x:c>
      <x:c r="S8" s="8" t="n">
        <x:f>R8*'Resumen'!$B$8</x:f>
        <x:v>99206.61</x:v>
      </x:c>
      <x:c r="T8" s="8" t="n">
        <x:f>M8+S8</x:f>
        <x:v>207367.15000000002</x:v>
      </x:c>
      <x:c r="U8" s="8" t="n">
        <x:f>T8-H8</x:f>
        <x:v>147571.93000000002</x:v>
      </x:c>
      <x:c r="V8" s="27" t="n">
        <x:v>11</x:v>
      </x:c>
    </x:row>
    <x:row r="9">
      <x:c r="A9" s="28" t="str">
        <x:v>170559</x:v>
      </x:c>
      <x:c r="B9" s="25" t="n">
        <x:v>24</x:v>
      </x:c>
      <x:c r="C9" s="25" t="n">
        <x:v>8913</x:v>
      </x:c>
      <x:c r="D9" s="25" t="n">
        <x:f>IF(B9=0,0,C9/B9)</x:f>
        <x:v>371.375</x:v>
      </x:c>
      <x:c r="E9" s="26" t="n">
        <x:f>IF(D9=0,0,D9/MAX($D$6:$D$337))</x:f>
        <x:v>0.2657016557645135</x:v>
      </x:c>
      <x:c r="F9" s="26" t="n">
        <x:f>IF(B9=0,0,B9/MAX($B$6:$B$337))</x:f>
        <x:v>0.8571428571428571</x:v>
      </x:c>
      <x:c r="G9" s="26" t="n">
        <x:f>'Resumen'!$B$9*E9+'Resumen'!$B$10*F9</x:f>
        <x:v>0.4431340161780165</x:v>
      </x:c>
      <x:c r="H9" s="8" t="n">
        <x:v>87505.41</x:v>
      </x:c>
      <x:c r="I9" s="8" t="n">
        <x:v>100854.09</x:v>
      </x:c>
      <x:c r="J9" s="8" t="n">
        <x:f>MAX(H9-I9,0)</x:f>
        <x:v>0</x:v>
      </x:c>
      <x:c r="K9" s="8" t="n">
        <x:f>J9*G9</x:f>
        <x:v>0</x:v>
      </x:c>
      <x:c r="L9" s="8" t="n">
        <x:f>IFERROR('Resumen'!$B$14*K9/SUM($K$6:$K$337),0)</x:f>
        <x:v>0</x:v>
      </x:c>
      <x:c r="M9" s="8" t="n">
        <x:f>I9+L9</x:f>
        <x:v>100854.09</x:v>
      </x:c>
      <x:c r="N9" s="8" t="n">
        <x:v>0</x:v>
      </x:c>
      <x:c r="O9" s="8" t="n">
        <x:f>N9*'Resumen'!$B$8</x:f>
        <x:v>0</x:v>
      </x:c>
      <x:c r="P9" s="8" t="n">
        <x:f>M9+O9</x:f>
        <x:v>100854.09</x:v>
      </x:c>
      <x:c r="Q9" s="8" t="n">
        <x:f>P9-H9</x:f>
        <x:v>13348.679999999993</x:v>
      </x:c>
      <x:c r="R9" s="8" t="n">
        <x:v>0</x:v>
      </x:c>
      <x:c r="S9" s="8" t="n">
        <x:f>R9*'Resumen'!$B$8</x:f>
        <x:v>0</x:v>
      </x:c>
      <x:c r="T9" s="8" t="n">
        <x:f>M9+S9</x:f>
        <x:v>100854.09</x:v>
      </x:c>
      <x:c r="U9" s="8" t="n">
        <x:f>T9-H9</x:f>
        <x:v>13348.679999999993</x:v>
      </x:c>
      <x:c r="V9" s="27" t="n">
        <x:v>0</x:v>
      </x:c>
    </x:row>
    <x:row r="10">
      <x:c r="A10" s="28" t="str">
        <x:v>175651</x:v>
      </x:c>
      <x:c r="B10" s="25" t="n">
        <x:v>10</x:v>
      </x:c>
      <x:c r="C10" s="25" t="n">
        <x:v>0</x:v>
      </x:c>
      <x:c r="D10" s="25" t="n">
        <x:f>IF(B10=0,0,C10/B10)</x:f>
        <x:v>0</x:v>
      </x:c>
      <x:c r="E10" s="26" t="n">
        <x:f>IF(D10=0,0,D10/MAX($D$6:$D$337))</x:f>
        <x:v>0</x:v>
      </x:c>
      <x:c r="F10" s="26" t="n">
        <x:f>IF(B10=0,0,B10/MAX($B$6:$B$337))</x:f>
        <x:v>0.35714285714285715</x:v>
      </x:c>
      <x:c r="G10" s="26" t="n">
        <x:f>'Resumen'!$B$9*E10+'Resumen'!$B$10*F10</x:f>
        <x:v>0.10714285714285714</x:v>
      </x:c>
      <x:c r="H10" s="8" t="n">
        <x:v>0</x:v>
      </x:c>
      <x:c r="I10" s="8" t="n">
        <x:v>0</x:v>
      </x:c>
      <x:c r="J10" s="8" t="n">
        <x:f>MAX(H10-I10,0)</x:f>
        <x:v>0</x:v>
      </x:c>
      <x:c r="K10" s="8" t="n">
        <x:f>J10*G10</x:f>
        <x:v>0</x:v>
      </x:c>
      <x:c r="L10" s="8" t="n">
        <x:f>IFERROR('Resumen'!$B$14*K10/SUM($K$6:$K$337),0)</x:f>
        <x:v>0</x:v>
      </x:c>
      <x:c r="M10" s="8" t="n">
        <x:f>I10+L10</x:f>
        <x:v>0</x:v>
      </x:c>
      <x:c r="N10" s="8" t="n">
        <x:v>0</x:v>
      </x:c>
      <x:c r="O10" s="8" t="n">
        <x:f>N10*'Resumen'!$B$8</x:f>
        <x:v>0</x:v>
      </x:c>
      <x:c r="P10" s="8" t="n">
        <x:f>M10+O10</x:f>
        <x:v>0</x:v>
      </x:c>
      <x:c r="Q10" s="8" t="n">
        <x:f>P10-H10</x:f>
        <x:v>0</x:v>
      </x:c>
      <x:c r="R10" s="8" t="n">
        <x:v>0</x:v>
      </x:c>
      <x:c r="S10" s="8" t="n">
        <x:f>R10*'Resumen'!$B$8</x:f>
        <x:v>0</x:v>
      </x:c>
      <x:c r="T10" s="8" t="n">
        <x:f>M10+S10</x:f>
        <x:v>0</x:v>
      </x:c>
      <x:c r="U10" s="8" t="n">
        <x:f>T10-H10</x:f>
        <x:v>0</x:v>
      </x:c>
      <x:c r="V10" s="27" t="n">
        <x:v>0</x:v>
      </x:c>
    </x:row>
    <x:row r="11">
      <x:c r="A11" s="28" t="str">
        <x:v>181826</x:v>
      </x:c>
      <x:c r="B11" s="25" t="n">
        <x:v>27</x:v>
      </x:c>
      <x:c r="C11" s="25" t="n">
        <x:v>11698</x:v>
      </x:c>
      <x:c r="D11" s="25" t="n">
        <x:f>IF(B11=0,0,C11/B11)</x:f>
        <x:v>433.25925925925924</x:v>
      </x:c>
      <x:c r="E11" s="26" t="n">
        <x:f>IF(D11=0,0,D11/MAX($D$6:$D$337))</x:f>
        <x:v>0.3099769843432967</x:v>
      </x:c>
      <x:c r="F11" s="26" t="n">
        <x:f>IF(B11=0,0,B11/MAX($B$6:$B$337))</x:f>
        <x:v>0.9642857142857143</x:v>
      </x:c>
      <x:c r="G11" s="26" t="n">
        <x:f>'Resumen'!$B$9*E11+'Resumen'!$B$10*F11</x:f>
        <x:v>0.5062696033260219</x:v>
      </x:c>
      <x:c r="H11" s="8" t="n">
        <x:v>144917.99999999997</x:v>
      </x:c>
      <x:c r="I11" s="8" t="n">
        <x:v>142238.49000000005</x:v>
      </x:c>
      <x:c r="J11" s="8" t="n">
        <x:f>MAX(H11-I11,0)</x:f>
        <x:v>2679.509999999922</x:v>
      </x:c>
      <x:c r="K11" s="8" t="n">
        <x:f>J11*G11</x:f>
        <x:v>1356.5544648080695</x:v>
      </x:c>
      <x:c r="L11" s="8" t="n">
        <x:f>IFERROR('Resumen'!$B$14*K11/SUM($K$6:$K$337),0)</x:f>
        <x:v>982.5911064741491</x:v>
      </x:c>
      <x:c r="M11" s="8" t="n">
        <x:f>I11+L11</x:f>
        <x:v>143221.0811064742</x:v>
      </x:c>
      <x:c r="N11" s="8" t="n">
        <x:v>0</x:v>
      </x:c>
      <x:c r="O11" s="8" t="n">
        <x:f>N11*'Resumen'!$B$8</x:f>
        <x:v>0</x:v>
      </x:c>
      <x:c r="P11" s="8" t="n">
        <x:f>M11+O11</x:f>
        <x:v>143221.0811064742</x:v>
      </x:c>
      <x:c r="Q11" s="8" t="n">
        <x:f>P11-H11</x:f>
        <x:v>-1696.9188935257844</x:v>
      </x:c>
      <x:c r="R11" s="8" t="n">
        <x:v>0</x:v>
      </x:c>
      <x:c r="S11" s="8" t="n">
        <x:f>R11*'Resumen'!$B$8</x:f>
        <x:v>0</x:v>
      </x:c>
      <x:c r="T11" s="8" t="n">
        <x:f>M11+S11</x:f>
        <x:v>143221.0811064742</x:v>
      </x:c>
      <x:c r="U11" s="8" t="n">
        <x:f>T11-H11</x:f>
        <x:v>-1696.9188935257844</x:v>
      </x:c>
      <x:c r="V11" s="27" t="n">
        <x:v>0</x:v>
      </x:c>
    </x:row>
    <x:row r="12">
      <x:c r="A12" s="28" t="str">
        <x:v>183034</x:v>
      </x:c>
      <x:c r="B12" s="25" t="n">
        <x:v>7</x:v>
      </x:c>
      <x:c r="C12" s="25" t="n">
        <x:v>2079</x:v>
      </x:c>
      <x:c r="D12" s="25" t="n">
        <x:f>IF(B12=0,0,C12/B12)</x:f>
        <x:v>297</x:v>
      </x:c>
      <x:c r="E12" s="26" t="n">
        <x:f>IF(D12=0,0,D12/MAX($D$6:$D$337))</x:f>
        <x:v>0.2124897792313982</x:v>
      </x:c>
      <x:c r="F12" s="26" t="n">
        <x:f>IF(B12=0,0,B12/MAX($B$6:$B$337))</x:f>
        <x:v>0.25</x:v>
      </x:c>
      <x:c r="G12" s="26" t="n">
        <x:f>'Resumen'!$B$9*E12+'Resumen'!$B$10*F12</x:f>
        <x:v>0.2237428454619787</x:v>
      </x:c>
      <x:c r="H12" s="8" t="n">
        <x:v>0</x:v>
      </x:c>
      <x:c r="I12" s="8" t="n">
        <x:v>6897.27</x:v>
      </x:c>
      <x:c r="J12" s="8" t="n">
        <x:f>MAX(H12-I12,0)</x:f>
        <x:v>0</x:v>
      </x:c>
      <x:c r="K12" s="8" t="n">
        <x:f>J12*G12</x:f>
        <x:v>0</x:v>
      </x:c>
      <x:c r="L12" s="8" t="n">
        <x:f>IFERROR('Resumen'!$B$14*K12/SUM($K$6:$K$337),0)</x:f>
        <x:v>0</x:v>
      </x:c>
      <x:c r="M12" s="8" t="n">
        <x:f>I12+L12</x:f>
        <x:v>6897.27</x:v>
      </x:c>
      <x:c r="N12" s="8" t="n">
        <x:v>0</x:v>
      </x:c>
      <x:c r="O12" s="8" t="n">
        <x:f>N12*'Resumen'!$B$8</x:f>
        <x:v>0</x:v>
      </x:c>
      <x:c r="P12" s="8" t="n">
        <x:f>M12+O12</x:f>
        <x:v>6897.27</x:v>
      </x:c>
      <x:c r="Q12" s="8" t="n">
        <x:f>P12-H12</x:f>
        <x:v>6897.27</x:v>
      </x:c>
      <x:c r="R12" s="8" t="n">
        <x:v>0</x:v>
      </x:c>
      <x:c r="S12" s="8" t="n">
        <x:f>R12*'Resumen'!$B$8</x:f>
        <x:v>0</x:v>
      </x:c>
      <x:c r="T12" s="8" t="n">
        <x:f>M12+S12</x:f>
        <x:v>6897.27</x:v>
      </x:c>
      <x:c r="U12" s="8" t="n">
        <x:f>T12-H12</x:f>
        <x:v>6897.27</x:v>
      </x:c>
      <x:c r="V12" s="27" t="n">
        <x:v>0</x:v>
      </x:c>
    </x:row>
    <x:row r="13">
      <x:c r="A13" s="28" t="str">
        <x:v>190368</x:v>
      </x:c>
      <x:c r="B13" s="25" t="n">
        <x:v>25</x:v>
      </x:c>
      <x:c r="C13" s="25" t="n">
        <x:v>15487</x:v>
      </x:c>
      <x:c r="D13" s="25" t="n">
        <x:f>IF(B13=0,0,C13/B13)</x:f>
        <x:v>619.48</x:v>
      </x:c>
      <x:c r="E13" s="26" t="n">
        <x:f>IF(D13=0,0,D13/MAX($D$6:$D$337))</x:f>
        <x:v>0.44320932134096486</x:v>
      </x:c>
      <x:c r="F13" s="26" t="n">
        <x:f>IF(B13=0,0,B13/MAX($B$6:$B$337))</x:f>
        <x:v>0.8928571428571429</x:v>
      </x:c>
      <x:c r="G13" s="26" t="n">
        <x:f>'Resumen'!$B$9*E13+'Resumen'!$B$10*F13</x:f>
        <x:v>0.5781036677958182</x:v>
      </x:c>
      <x:c r="H13" s="8" t="n">
        <x:v>42686.66</x:v>
      </x:c>
      <x:c r="I13" s="8" t="n">
        <x:v>132621.8</x:v>
      </x:c>
      <x:c r="J13" s="8" t="n">
        <x:f>MAX(H13-I13,0)</x:f>
        <x:v>0</x:v>
      </x:c>
      <x:c r="K13" s="8" t="n">
        <x:f>J13*G13</x:f>
        <x:v>0</x:v>
      </x:c>
      <x:c r="L13" s="8" t="n">
        <x:f>IFERROR('Resumen'!$B$14*K13/SUM($K$6:$K$337),0)</x:f>
        <x:v>0</x:v>
      </x:c>
      <x:c r="M13" s="8" t="n">
        <x:f>I13+L13</x:f>
        <x:v>132621.8</x:v>
      </x:c>
      <x:c r="N13" s="8" t="n">
        <x:v>0</x:v>
      </x:c>
      <x:c r="O13" s="8" t="n">
        <x:f>N13*'Resumen'!$B$8</x:f>
        <x:v>0</x:v>
      </x:c>
      <x:c r="P13" s="8" t="n">
        <x:f>M13+O13</x:f>
        <x:v>132621.8</x:v>
      </x:c>
      <x:c r="Q13" s="8" t="n">
        <x:f>P13-H13</x:f>
        <x:v>89935.13999999998</x:v>
      </x:c>
      <x:c r="R13" s="8" t="n">
        <x:v>0</x:v>
      </x:c>
      <x:c r="S13" s="8" t="n">
        <x:f>R13*'Resumen'!$B$8</x:f>
        <x:v>0</x:v>
      </x:c>
      <x:c r="T13" s="8" t="n">
        <x:f>M13+S13</x:f>
        <x:v>132621.8</x:v>
      </x:c>
      <x:c r="U13" s="8" t="n">
        <x:f>T13-H13</x:f>
        <x:v>89935.13999999998</x:v>
      </x:c>
      <x:c r="V13" s="27" t="n">
        <x:v>0</x:v>
      </x:c>
    </x:row>
    <x:row r="14">
      <x:c r="A14" s="28" t="str">
        <x:v>190888</x:v>
      </x:c>
      <x:c r="B14" s="25" t="n">
        <x:v>12</x:v>
      </x:c>
      <x:c r="C14" s="25" t="n">
        <x:v>5395</x:v>
      </x:c>
      <x:c r="D14" s="25" t="n">
        <x:f>IF(B14=0,0,C14/B14)</x:f>
        <x:v>449.5833333333333</x:v>
      </x:c>
      <x:c r="E14" s="26" t="n">
        <x:f>IF(D14=0,0,D14/MAX($D$6:$D$337))</x:f>
        <x:v>0.3216561052057781</x:v>
      </x:c>
      <x:c r="F14" s="26" t="n">
        <x:f>IF(B14=0,0,B14/MAX($B$6:$B$337))</x:f>
        <x:v>0.42857142857142855</x:v>
      </x:c>
      <x:c r="G14" s="26" t="n">
        <x:f>'Resumen'!$B$9*E14+'Resumen'!$B$10*F14</x:f>
        <x:v>0.3537307022154732</x:v>
      </x:c>
      <x:c r="H14" s="8" t="n">
        <x:v>34366.62</x:v>
      </x:c>
      <x:c r="I14" s="8" t="n">
        <x:v>32403.89</x:v>
      </x:c>
      <x:c r="J14" s="8" t="n">
        <x:f>MAX(H14-I14,0)</x:f>
        <x:v>1962.7300000000032</x:v>
      </x:c>
      <x:c r="K14" s="8" t="n">
        <x:f>J14*G14</x:f>
        <x:v>694.2778611593768</x:v>
      </x:c>
      <x:c r="L14" s="8" t="n">
        <x:f>IFERROR('Resumen'!$B$14*K14/SUM($K$6:$K$337),0)</x:f>
        <x:v>502.8852652028363</x:v>
      </x:c>
      <x:c r="M14" s="8" t="n">
        <x:f>I14+L14</x:f>
        <x:v>32906.775265202836</x:v>
      </x:c>
      <x:c r="N14" s="8" t="n">
        <x:v>0</x:v>
      </x:c>
      <x:c r="O14" s="8" t="n">
        <x:f>N14*'Resumen'!$B$8</x:f>
        <x:v>0</x:v>
      </x:c>
      <x:c r="P14" s="8" t="n">
        <x:f>M14+O14</x:f>
        <x:v>32906.775265202836</x:v>
      </x:c>
      <x:c r="Q14" s="8" t="n">
        <x:f>P14-H14</x:f>
        <x:v>-1459.844734797167</x:v>
      </x:c>
      <x:c r="R14" s="8" t="n">
        <x:v>0</x:v>
      </x:c>
      <x:c r="S14" s="8" t="n">
        <x:f>R14*'Resumen'!$B$8</x:f>
        <x:v>0</x:v>
      </x:c>
      <x:c r="T14" s="8" t="n">
        <x:f>M14+S14</x:f>
        <x:v>32906.775265202836</x:v>
      </x:c>
      <x:c r="U14" s="8" t="n">
        <x:f>T14-H14</x:f>
        <x:v>-1459.844734797167</x:v>
      </x:c>
      <x:c r="V14" s="27" t="n">
        <x:v>0</x:v>
      </x:c>
    </x:row>
    <x:row r="15">
      <x:c r="A15" s="28" t="str">
        <x:v>190890</x:v>
      </x:c>
      <x:c r="B15" s="25" t="n">
        <x:v>21</x:v>
      </x:c>
      <x:c r="C15" s="25" t="n">
        <x:v>10944</x:v>
      </x:c>
      <x:c r="D15" s="25" t="n">
        <x:f>IF(B15=0,0,C15/B15)</x:f>
        <x:v>521.1428571428571</x:v>
      </x:c>
      <x:c r="E15" s="26" t="n">
        <x:f>IF(D15=0,0,D15/MAX($D$6:$D$337))</x:f>
        <x:v>0.3728536385936222</x:v>
      </x:c>
      <x:c r="F15" s="26" t="n">
        <x:f>IF(B15=0,0,B15/MAX($B$6:$B$337))</x:f>
        <x:v>0.75</x:v>
      </x:c>
      <x:c r="G15" s="26" t="n">
        <x:f>'Resumen'!$B$9*E15+'Resumen'!$B$10*F15</x:f>
        <x:v>0.4859975470155355</x:v>
      </x:c>
      <x:c r="H15" s="8" t="n">
        <x:v>38725.39</x:v>
      </x:c>
      <x:c r="I15" s="8" t="n">
        <x:v>91862.2</x:v>
      </x:c>
      <x:c r="J15" s="8" t="n">
        <x:f>MAX(H15-I15,0)</x:f>
        <x:v>0</x:v>
      </x:c>
      <x:c r="K15" s="8" t="n">
        <x:f>J15*G15</x:f>
        <x:v>0</x:v>
      </x:c>
      <x:c r="L15" s="8" t="n">
        <x:f>IFERROR('Resumen'!$B$14*K15/SUM($K$6:$K$337),0)</x:f>
        <x:v>0</x:v>
      </x:c>
      <x:c r="M15" s="8" t="n">
        <x:f>I15+L15</x:f>
        <x:v>91862.2</x:v>
      </x:c>
      <x:c r="N15" s="8" t="n">
        <x:v>0</x:v>
      </x:c>
      <x:c r="O15" s="8" t="n">
        <x:f>N15*'Resumen'!$B$8</x:f>
        <x:v>0</x:v>
      </x:c>
      <x:c r="P15" s="8" t="n">
        <x:f>M15+O15</x:f>
        <x:v>91862.2</x:v>
      </x:c>
      <x:c r="Q15" s="8" t="n">
        <x:f>P15-H15</x:f>
        <x:v>53136.81</x:v>
      </x:c>
      <x:c r="R15" s="8" t="n">
        <x:v>0</x:v>
      </x:c>
      <x:c r="S15" s="8" t="n">
        <x:f>R15*'Resumen'!$B$8</x:f>
        <x:v>0</x:v>
      </x:c>
      <x:c r="T15" s="8" t="n">
        <x:f>M15+S15</x:f>
        <x:v>91862.2</x:v>
      </x:c>
      <x:c r="U15" s="8" t="n">
        <x:f>T15-H15</x:f>
        <x:v>53136.81</x:v>
      </x:c>
      <x:c r="V15" s="27" t="n">
        <x:v>0</x:v>
      </x:c>
    </x:row>
    <x:row r="16">
      <x:c r="A16" s="28" t="str">
        <x:v>192150</x:v>
      </x:c>
      <x:c r="B16" s="25" t="n">
        <x:v>24</x:v>
      </x:c>
      <x:c r="C16" s="25" t="n">
        <x:v>20160</x:v>
      </x:c>
      <x:c r="D16" s="25" t="n">
        <x:f>IF(B16=0,0,C16/B16)</x:f>
        <x:v>840</x:v>
      </x:c>
      <x:c r="E16" s="26" t="n">
        <x:f>IF(D16=0,0,D16/MAX($D$6:$D$337))</x:f>
        <x:v>0.6009811937857726</x:v>
      </x:c>
      <x:c r="F16" s="26" t="n">
        <x:f>IF(B16=0,0,B16/MAX($B$6:$B$337))</x:f>
        <x:v>0.8571428571428571</x:v>
      </x:c>
      <x:c r="G16" s="26" t="n">
        <x:f>'Resumen'!$B$9*E16+'Resumen'!$B$10*F16</x:f>
        <x:v>0.677829692792898</x:v>
      </x:c>
      <x:c r="H16" s="8" t="n">
        <x:v>130054.78000000001</x:v>
      </x:c>
      <x:c r="I16" s="8" t="n">
        <x:v>220059.33000000002</x:v>
      </x:c>
      <x:c r="J16" s="8" t="n">
        <x:f>MAX(H16-I16,0)</x:f>
        <x:v>0</x:v>
      </x:c>
      <x:c r="K16" s="8" t="n">
        <x:f>J16*G16</x:f>
        <x:v>0</x:v>
      </x:c>
      <x:c r="L16" s="8" t="n">
        <x:f>IFERROR('Resumen'!$B$14*K16/SUM($K$6:$K$337),0)</x:f>
        <x:v>0</x:v>
      </x:c>
      <x:c r="M16" s="8" t="n">
        <x:f>I16+L16</x:f>
        <x:v>220059.33000000002</x:v>
      </x:c>
      <x:c r="N16" s="8" t="n">
        <x:v>493454.19999999995</x:v>
      </x:c>
      <x:c r="O16" s="8" t="n">
        <x:f>N16*'Resumen'!$B$8</x:f>
        <x:v>148036.25999999998</x:v>
      </x:c>
      <x:c r="P16" s="8" t="n">
        <x:f>M16+O16</x:f>
        <x:v>368095.58999999997</x:v>
      </x:c>
      <x:c r="Q16" s="8" t="n">
        <x:f>P16-H16</x:f>
        <x:v>238040.80999999994</x:v>
      </x:c>
      <x:c r="R16" s="8" t="n">
        <x:v>554565.58</x:v>
      </x:c>
      <x:c r="S16" s="8" t="n">
        <x:f>R16*'Resumen'!$B$8</x:f>
        <x:v>166369.67399999997</x:v>
      </x:c>
      <x:c r="T16" s="8" t="n">
        <x:f>M16+S16</x:f>
        <x:v>386429.00399999996</x:v>
      </x:c>
      <x:c r="U16" s="8" t="n">
        <x:f>T16-H16</x:f>
        <x:v>256374.22399999993</x:v>
      </x:c>
      <x:c r="V16" s="27" t="n">
        <x:v>18</x:v>
      </x:c>
    </x:row>
    <x:row r="17">
      <x:c r="A17" s="28" t="str">
        <x:v>192151</x:v>
      </x:c>
      <x:c r="B17" s="25" t="n">
        <x:v>23</x:v>
      </x:c>
      <x:c r="C17" s="25" t="n">
        <x:v>15549</x:v>
      </x:c>
      <x:c r="D17" s="25" t="n">
        <x:f>IF(B17=0,0,C17/B17)</x:f>
        <x:v>676.0434782608696</x:v>
      </x:c>
      <x:c r="E17" s="26" t="n">
        <x:f>IF(D17=0,0,D17/MAX($D$6:$D$337))</x:f>
        <x:v>0.4836778769241708</x:v>
      </x:c>
      <x:c r="F17" s="26" t="n">
        <x:f>IF(B17=0,0,B17/MAX($B$6:$B$337))</x:f>
        <x:v>0.8214285714285714</x:v>
      </x:c>
      <x:c r="G17" s="26" t="n">
        <x:f>'Resumen'!$B$9*E17+'Resumen'!$B$10*F17</x:f>
        <x:v>0.5850030852754909</x:v>
      </x:c>
      <x:c r="H17" s="8" t="n">
        <x:v>310534.4</x:v>
      </x:c>
      <x:c r="I17" s="8" t="n">
        <x:v>99517.76999999999</x:v>
      </x:c>
      <x:c r="J17" s="8" t="n">
        <x:f>MAX(H17-I17,0)</x:f>
        <x:v>211016.63000000003</x:v>
      </x:c>
      <x:c r="K17" s="8" t="n">
        <x:f>J17*G17</x:f>
        <x:v>123445.37959443674</x:v>
      </x:c>
      <x:c r="L17" s="8" t="n">
        <x:f>IFERROR('Resumen'!$B$14*K17/SUM($K$6:$K$337),0)</x:f>
        <x:v>89415.01080237159</x:v>
      </x:c>
      <x:c r="M17" s="8" t="n">
        <x:f>I17+L17</x:f>
        <x:v>188932.78080237156</x:v>
      </x:c>
      <x:c r="N17" s="8" t="n">
        <x:v>0</x:v>
      </x:c>
      <x:c r="O17" s="8" t="n">
        <x:f>N17*'Resumen'!$B$8</x:f>
        <x:v>0</x:v>
      </x:c>
      <x:c r="P17" s="8" t="n">
        <x:f>M17+O17</x:f>
        <x:v>188932.78080237156</x:v>
      </x:c>
      <x:c r="Q17" s="8" t="n">
        <x:f>P17-H17</x:f>
        <x:v>-121601.61919762846</x:v>
      </x:c>
      <x:c r="R17" s="8" t="n">
        <x:v>0</x:v>
      </x:c>
      <x:c r="S17" s="8" t="n">
        <x:f>R17*'Resumen'!$B$8</x:f>
        <x:v>0</x:v>
      </x:c>
      <x:c r="T17" s="8" t="n">
        <x:f>M17+S17</x:f>
        <x:v>188932.78080237156</x:v>
      </x:c>
      <x:c r="U17" s="8" t="n">
        <x:f>T17-H17</x:f>
        <x:v>-121601.61919762846</x:v>
      </x:c>
      <x:c r="V17" s="27" t="n">
        <x:v>0</x:v>
      </x:c>
    </x:row>
    <x:row r="18">
      <x:c r="A18" s="28" t="str">
        <x:v>192184</x:v>
      </x:c>
      <x:c r="B18" s="25" t="n">
        <x:v>9</x:v>
      </x:c>
      <x:c r="C18" s="25" t="n">
        <x:v>2944</x:v>
      </x:c>
      <x:c r="D18" s="25" t="n">
        <x:f>IF(B18=0,0,C18/B18)</x:f>
        <x:v>327.1111111111111</x:v>
      </x:c>
      <x:c r="E18" s="26" t="n">
        <x:f>IF(D18=0,0,D18/MAX($D$6:$D$337))</x:f>
        <x:v>0.23403288816207865</x:v>
      </x:c>
      <x:c r="F18" s="26" t="n">
        <x:f>IF(B18=0,0,B18/MAX($B$6:$B$337))</x:f>
        <x:v>0.32142857142857145</x:v>
      </x:c>
      <x:c r="G18" s="26" t="n">
        <x:f>'Resumen'!$B$9*E18+'Resumen'!$B$10*F18</x:f>
        <x:v>0.2602515931420265</x:v>
      </x:c>
      <x:c r="H18" s="8" t="n">
        <x:v>0</x:v>
      </x:c>
      <x:c r="I18" s="8" t="n">
        <x:v>16627.94</x:v>
      </x:c>
      <x:c r="J18" s="8" t="n">
        <x:f>MAX(H18-I18,0)</x:f>
        <x:v>0</x:v>
      </x:c>
      <x:c r="K18" s="8" t="n">
        <x:f>J18*G18</x:f>
        <x:v>0</x:v>
      </x:c>
      <x:c r="L18" s="8" t="n">
        <x:f>IFERROR('Resumen'!$B$14*K18/SUM($K$6:$K$337),0)</x:f>
        <x:v>0</x:v>
      </x:c>
      <x:c r="M18" s="8" t="n">
        <x:f>I18+L18</x:f>
        <x:v>16627.94</x:v>
      </x:c>
      <x:c r="N18" s="8" t="n">
        <x:v>0</x:v>
      </x:c>
      <x:c r="O18" s="8" t="n">
        <x:f>N18*'Resumen'!$B$8</x:f>
        <x:v>0</x:v>
      </x:c>
      <x:c r="P18" s="8" t="n">
        <x:f>M18+O18</x:f>
        <x:v>16627.94</x:v>
      </x:c>
      <x:c r="Q18" s="8" t="n">
        <x:f>P18-H18</x:f>
        <x:v>16627.94</x:v>
      </x:c>
      <x:c r="R18" s="8" t="n">
        <x:v>0</x:v>
      </x:c>
      <x:c r="S18" s="8" t="n">
        <x:f>R18*'Resumen'!$B$8</x:f>
        <x:v>0</x:v>
      </x:c>
      <x:c r="T18" s="8" t="n">
        <x:f>M18+S18</x:f>
        <x:v>16627.94</x:v>
      </x:c>
      <x:c r="U18" s="8" t="n">
        <x:f>T18-H18</x:f>
        <x:v>16627.94</x:v>
      </x:c>
      <x:c r="V18" s="27" t="n">
        <x:v>0</x:v>
      </x:c>
    </x:row>
    <x:row r="19">
      <x:c r="A19" s="28" t="str">
        <x:v>192185</x:v>
      </x:c>
      <x:c r="B19" s="25" t="n">
        <x:v>8</x:v>
      </x:c>
      <x:c r="C19" s="25" t="n">
        <x:v>6570</x:v>
      </x:c>
      <x:c r="D19" s="25" t="n">
        <x:f>IF(B19=0,0,C19/B19)</x:f>
        <x:v>821.25</x:v>
      </x:c>
      <x:c r="E19" s="26" t="n">
        <x:f>IF(D19=0,0,D19/MAX($D$6:$D$337))</x:f>
        <x:v>0.5875664349959117</x:v>
      </x:c>
      <x:c r="F19" s="26" t="n">
        <x:f>IF(B19=0,0,B19/MAX($B$6:$B$337))</x:f>
        <x:v>0.2857142857142857</x:v>
      </x:c>
      <x:c r="G19" s="26" t="n">
        <x:f>'Resumen'!$B$9*E19+'Resumen'!$B$10*F19</x:f>
        <x:v>0.4970107902114238</x:v>
      </x:c>
      <x:c r="H19" s="8" t="n">
        <x:v>67872.43</x:v>
      </x:c>
      <x:c r="I19" s="8" t="n">
        <x:v>82305.7</x:v>
      </x:c>
      <x:c r="J19" s="8" t="n">
        <x:f>MAX(H19-I19,0)</x:f>
        <x:v>0</x:v>
      </x:c>
      <x:c r="K19" s="8" t="n">
        <x:f>J19*G19</x:f>
        <x:v>0</x:v>
      </x:c>
      <x:c r="L19" s="8" t="n">
        <x:f>IFERROR('Resumen'!$B$14*K19/SUM($K$6:$K$337),0)</x:f>
        <x:v>0</x:v>
      </x:c>
      <x:c r="M19" s="8" t="n">
        <x:f>I19+L19</x:f>
        <x:v>82305.7</x:v>
      </x:c>
      <x:c r="N19" s="8" t="n">
        <x:v>0</x:v>
      </x:c>
      <x:c r="O19" s="8" t="n">
        <x:f>N19*'Resumen'!$B$8</x:f>
        <x:v>0</x:v>
      </x:c>
      <x:c r="P19" s="8" t="n">
        <x:f>M19+O19</x:f>
        <x:v>82305.7</x:v>
      </x:c>
      <x:c r="Q19" s="8" t="n">
        <x:f>P19-H19</x:f>
        <x:v>14433.270000000004</x:v>
      </x:c>
      <x:c r="R19" s="8" t="n">
        <x:v>0</x:v>
      </x:c>
      <x:c r="S19" s="8" t="n">
        <x:f>R19*'Resumen'!$B$8</x:f>
        <x:v>0</x:v>
      </x:c>
      <x:c r="T19" s="8" t="n">
        <x:f>M19+S19</x:f>
        <x:v>82305.7</x:v>
      </x:c>
      <x:c r="U19" s="8" t="n">
        <x:f>T19-H19</x:f>
        <x:v>14433.270000000004</x:v>
      </x:c>
      <x:c r="V19" s="27" t="n">
        <x:v>0</x:v>
      </x:c>
    </x:row>
    <x:row r="20">
      <x:c r="A20" s="28" t="str">
        <x:v>192187</x:v>
      </x:c>
      <x:c r="B20" s="25" t="n">
        <x:v>10</x:v>
      </x:c>
      <x:c r="C20" s="25" t="n">
        <x:v>7314</x:v>
      </x:c>
      <x:c r="D20" s="25" t="n">
        <x:f>IF(B20=0,0,C20/B20)</x:f>
        <x:v>731.4</x:v>
      </x:c>
      <x:c r="E20" s="26" t="n">
        <x:f>IF(D20=0,0,D20/MAX($D$6:$D$337))</x:f>
        <x:v>0.5232829108748978</x:v>
      </x:c>
      <x:c r="F20" s="26" t="n">
        <x:f>IF(B20=0,0,B20/MAX($B$6:$B$337))</x:f>
        <x:v>0.35714285714285715</x:v>
      </x:c>
      <x:c r="G20" s="26" t="n">
        <x:f>'Resumen'!$B$9*E20+'Resumen'!$B$10*F20</x:f>
        <x:v>0.47344089475528556</x:v>
      </x:c>
      <x:c r="H20" s="8" t="n">
        <x:v>70969.12000000001</x:v>
      </x:c>
      <x:c r="I20" s="8" t="n">
        <x:v>84969.65</x:v>
      </x:c>
      <x:c r="J20" s="8" t="n">
        <x:f>MAX(H20-I20,0)</x:f>
        <x:v>0</x:v>
      </x:c>
      <x:c r="K20" s="8" t="n">
        <x:f>J20*G20</x:f>
        <x:v>0</x:v>
      </x:c>
      <x:c r="L20" s="8" t="n">
        <x:f>IFERROR('Resumen'!$B$14*K20/SUM($K$6:$K$337),0)</x:f>
        <x:v>0</x:v>
      </x:c>
      <x:c r="M20" s="8" t="n">
        <x:f>I20+L20</x:f>
        <x:v>84969.65</x:v>
      </x:c>
      <x:c r="N20" s="8" t="n">
        <x:v>0</x:v>
      </x:c>
      <x:c r="O20" s="8" t="n">
        <x:f>N20*'Resumen'!$B$8</x:f>
        <x:v>0</x:v>
      </x:c>
      <x:c r="P20" s="8" t="n">
        <x:f>M20+O20</x:f>
        <x:v>84969.65</x:v>
      </x:c>
      <x:c r="Q20" s="8" t="n">
        <x:f>P20-H20</x:f>
        <x:v>14000.529999999984</x:v>
      </x:c>
      <x:c r="R20" s="8" t="n">
        <x:v>0</x:v>
      </x:c>
      <x:c r="S20" s="8" t="n">
        <x:f>R20*'Resumen'!$B$8</x:f>
        <x:v>0</x:v>
      </x:c>
      <x:c r="T20" s="8" t="n">
        <x:f>M20+S20</x:f>
        <x:v>84969.65</x:v>
      </x:c>
      <x:c r="U20" s="8" t="n">
        <x:f>T20-H20</x:f>
        <x:v>14000.529999999984</x:v>
      </x:c>
      <x:c r="V20" s="27" t="n">
        <x:v>0</x:v>
      </x:c>
    </x:row>
    <x:row r="21">
      <x:c r="A21" s="28" t="str">
        <x:v>194041</x:v>
      </x:c>
      <x:c r="B21" s="25" t="n">
        <x:v>20</x:v>
      </x:c>
      <x:c r="C21" s="25" t="n">
        <x:v>15669</x:v>
      </x:c>
      <x:c r="D21" s="25" t="n">
        <x:f>IF(B21=0,0,C21/B21)</x:f>
        <x:v>783.45</x:v>
      </x:c>
      <x:c r="E21" s="26" t="n">
        <x:f>IF(D21=0,0,D21/MAX($D$6:$D$337))</x:f>
        <x:v>0.5605222812755519</x:v>
      </x:c>
      <x:c r="F21" s="26" t="n">
        <x:f>IF(B21=0,0,B21/MAX($B$6:$B$337))</x:f>
        <x:v>0.7142857142857143</x:v>
      </x:c>
      <x:c r="G21" s="26" t="n">
        <x:f>'Resumen'!$B$9*E21+'Resumen'!$B$10*F21</x:f>
        <x:v>0.6066513111786006</x:v>
      </x:c>
      <x:c r="H21" s="8" t="n">
        <x:v>100554.72</x:v>
      </x:c>
      <x:c r="I21" s="8" t="n">
        <x:v>139620.08000000002</x:v>
      </x:c>
      <x:c r="J21" s="8" t="n">
        <x:f>MAX(H21-I21,0)</x:f>
        <x:v>0</x:v>
      </x:c>
      <x:c r="K21" s="8" t="n">
        <x:f>J21*G21</x:f>
        <x:v>0</x:v>
      </x:c>
      <x:c r="L21" s="8" t="n">
        <x:f>IFERROR('Resumen'!$B$14*K21/SUM($K$6:$K$337),0)</x:f>
        <x:v>0</x:v>
      </x:c>
      <x:c r="M21" s="8" t="n">
        <x:f>I21+L21</x:f>
        <x:v>139620.08000000002</x:v>
      </x:c>
      <x:c r="N21" s="8" t="n">
        <x:v>397217.25</x:v>
      </x:c>
      <x:c r="O21" s="8" t="n">
        <x:f>N21*'Resumen'!$B$8</x:f>
        <x:v>119165.17499999999</x:v>
      </x:c>
      <x:c r="P21" s="8" t="n">
        <x:f>M21+O21</x:f>
        <x:v>258785.255</x:v>
      </x:c>
      <x:c r="Q21" s="8" t="n">
        <x:f>P21-H21</x:f>
        <x:v>158230.535</x:v>
      </x:c>
      <x:c r="R21" s="8" t="n">
        <x:v>459753.55</x:v>
      </x:c>
      <x:c r="S21" s="8" t="n">
        <x:f>R21*'Resumen'!$B$8</x:f>
        <x:v>137926.065</x:v>
      </x:c>
      <x:c r="T21" s="8" t="n">
        <x:f>M21+S21</x:f>
        <x:v>277546.145</x:v>
      </x:c>
      <x:c r="U21" s="8" t="n">
        <x:f>T21-H21</x:f>
        <x:v>176991.42500000002</x:v>
      </x:c>
      <x:c r="V21" s="27" t="n">
        <x:v>16</x:v>
      </x:c>
    </x:row>
    <x:row r="22">
      <x:c r="A22" s="28" t="str">
        <x:v>194826</x:v>
      </x:c>
      <x:c r="B22" s="25" t="n">
        <x:v>9</x:v>
      </x:c>
      <x:c r="C22" s="25" t="n">
        <x:v>2824</x:v>
      </x:c>
      <x:c r="D22" s="25" t="n">
        <x:f>IF(B22=0,0,C22/B22)</x:f>
        <x:v>313.77777777777777</x:v>
      </x:c>
      <x:c r="E22" s="26" t="n">
        <x:f>IF(D22=0,0,D22/MAX($D$6:$D$337))</x:f>
        <x:v>0.22449350413373306</x:v>
      </x:c>
      <x:c r="F22" s="26" t="n">
        <x:f>IF(B22=0,0,B22/MAX($B$6:$B$337))</x:f>
        <x:v>0.32142857142857145</x:v>
      </x:c>
      <x:c r="G22" s="26" t="n">
        <x:f>'Resumen'!$B$9*E22+'Resumen'!$B$10*F22</x:f>
        <x:v>0.25357402432218457</x:v>
      </x:c>
      <x:c r="H22" s="8" t="n">
        <x:v>0</x:v>
      </x:c>
      <x:c r="I22" s="8" t="n">
        <x:v>11687.869999999999</x:v>
      </x:c>
      <x:c r="J22" s="8" t="n">
        <x:f>MAX(H22-I22,0)</x:f>
        <x:v>0</x:v>
      </x:c>
      <x:c r="K22" s="8" t="n">
        <x:f>J22*G22</x:f>
        <x:v>0</x:v>
      </x:c>
      <x:c r="L22" s="8" t="n">
        <x:f>IFERROR('Resumen'!$B$14*K22/SUM($K$6:$K$337),0)</x:f>
        <x:v>0</x:v>
      </x:c>
      <x:c r="M22" s="8" t="n">
        <x:f>I22+L22</x:f>
        <x:v>11687.869999999999</x:v>
      </x:c>
      <x:c r="N22" s="8" t="n">
        <x:v>0</x:v>
      </x:c>
      <x:c r="O22" s="8" t="n">
        <x:f>N22*'Resumen'!$B$8</x:f>
        <x:v>0</x:v>
      </x:c>
      <x:c r="P22" s="8" t="n">
        <x:f>M22+O22</x:f>
        <x:v>11687.869999999999</x:v>
      </x:c>
      <x:c r="Q22" s="8" t="n">
        <x:f>P22-H22</x:f>
        <x:v>11687.869999999999</x:v>
      </x:c>
      <x:c r="R22" s="8" t="n">
        <x:v>0</x:v>
      </x:c>
      <x:c r="S22" s="8" t="n">
        <x:f>R22*'Resumen'!$B$8</x:f>
        <x:v>0</x:v>
      </x:c>
      <x:c r="T22" s="8" t="n">
        <x:f>M22+S22</x:f>
        <x:v>11687.869999999999</x:v>
      </x:c>
      <x:c r="U22" s="8" t="n">
        <x:f>T22-H22</x:f>
        <x:v>11687.869999999999</x:v>
      </x:c>
      <x:c r="V22" s="27" t="n">
        <x:v>0</x:v>
      </x:c>
    </x:row>
    <x:row r="23">
      <x:c r="A23" s="28" t="str">
        <x:v>195116</x:v>
      </x:c>
      <x:c r="B23" s="25" t="n">
        <x:v>6</x:v>
      </x:c>
      <x:c r="C23" s="25" t="n">
        <x:v>4804</x:v>
      </x:c>
      <x:c r="D23" s="25" t="n">
        <x:f>IF(B23=0,0,C23/B23)</x:f>
        <x:v>800.6666666666666</x:v>
      </x:c>
      <x:c r="E23" s="26" t="n">
        <x:f>IF(D23=0,0,D23/MAX($D$6:$D$337))</x:f>
        <x:v>0.5728400109021531</x:v>
      </x:c>
      <x:c r="F23" s="26" t="n">
        <x:f>IF(B23=0,0,B23/MAX($B$6:$B$337))</x:f>
        <x:v>0.21428571428571427</x:v>
      </x:c>
      <x:c r="G23" s="26" t="n">
        <x:f>'Resumen'!$B$9*E23+'Resumen'!$B$10*F23</x:f>
        <x:v>0.46527372191722144</x:v>
      </x:c>
      <x:c r="H23" s="8" t="n">
        <x:v>46635.28</x:v>
      </x:c>
      <x:c r="I23" s="8" t="n">
        <x:v>46560.16</x:v>
      </x:c>
      <x:c r="J23" s="8" t="n">
        <x:f>MAX(H23-I23,0)</x:f>
        <x:v>75.11999999999534</x:v>
      </x:c>
      <x:c r="K23" s="8" t="n">
        <x:f>J23*G23</x:f>
        <x:v>34.95136199041951</x:v>
      </x:c>
      <x:c r="L23" s="8" t="n">
        <x:f>IFERROR('Resumen'!$B$14*K23/SUM($K$6:$K$337),0)</x:f>
        <x:v>25.316268783799835</x:v>
      </x:c>
      <x:c r="M23" s="8" t="n">
        <x:f>I23+L23</x:f>
        <x:v>46585.4762687838</x:v>
      </x:c>
      <x:c r="N23" s="8" t="n">
        <x:v>0</x:v>
      </x:c>
      <x:c r="O23" s="8" t="n">
        <x:f>N23*'Resumen'!$B$8</x:f>
        <x:v>0</x:v>
      </x:c>
      <x:c r="P23" s="8" t="n">
        <x:f>M23+O23</x:f>
        <x:v>46585.4762687838</x:v>
      </x:c>
      <x:c r="Q23" s="8" t="n">
        <x:f>P23-H23</x:f>
        <x:v>-49.803731216197775</x:v>
      </x:c>
      <x:c r="R23" s="8" t="n">
        <x:v>0</x:v>
      </x:c>
      <x:c r="S23" s="8" t="n">
        <x:f>R23*'Resumen'!$B$8</x:f>
        <x:v>0</x:v>
      </x:c>
      <x:c r="T23" s="8" t="n">
        <x:f>M23+S23</x:f>
        <x:v>46585.4762687838</x:v>
      </x:c>
      <x:c r="U23" s="8" t="n">
        <x:f>T23-H23</x:f>
        <x:v>-49.803731216197775</x:v>
      </x:c>
      <x:c r="V23" s="27" t="n">
        <x:v>0</x:v>
      </x:c>
    </x:row>
    <x:row r="24">
      <x:c r="A24" s="28" t="str">
        <x:v>195117</x:v>
      </x:c>
      <x:c r="B24" s="25" t="n">
        <x:v>6</x:v>
      </x:c>
      <x:c r="C24" s="25" t="n">
        <x:v>3869</x:v>
      </x:c>
      <x:c r="D24" s="25" t="n">
        <x:f>IF(B24=0,0,C24/B24)</x:f>
        <x:v>644.8333333333334</x:v>
      </x:c>
      <x:c r="E24" s="26" t="n">
        <x:f>IF(D24=0,0,D24/MAX($D$6:$D$337))</x:f>
        <x:v>0.461348460070864</x:v>
      </x:c>
      <x:c r="F24" s="26" t="n">
        <x:f>IF(B24=0,0,B24/MAX($B$6:$B$337))</x:f>
        <x:v>0.21428571428571427</x:v>
      </x:c>
      <x:c r="G24" s="26" t="n">
        <x:f>'Resumen'!$B$9*E24+'Resumen'!$B$10*F24</x:f>
        <x:v>0.38722963633531904</x:v>
      </x:c>
      <x:c r="H24" s="8" t="n">
        <x:v>33610.78</x:v>
      </x:c>
      <x:c r="I24" s="8" t="n">
        <x:v>32201.44</x:v>
      </x:c>
      <x:c r="J24" s="8" t="n">
        <x:f>MAX(H24-I24,0)</x:f>
        <x:v>1409.3400000000001</x:v>
      </x:c>
      <x:c r="K24" s="8" t="n">
        <x:f>J24*G24</x:f>
        <x:v>545.7382156728186</x:v>
      </x:c>
      <x:c r="L24" s="8" t="n">
        <x:f>IFERROR('Resumen'!$B$14*K24/SUM($K$6:$K$337),0)</x:f>
        <x:v>395.29376158077923</x:v>
      </x:c>
      <x:c r="M24" s="8" t="n">
        <x:f>I24+L24</x:f>
        <x:v>32596.733761580777</x:v>
      </x:c>
      <x:c r="N24" s="8" t="n">
        <x:v>0</x:v>
      </x:c>
      <x:c r="O24" s="8" t="n">
        <x:f>N24*'Resumen'!$B$8</x:f>
        <x:v>0</x:v>
      </x:c>
      <x:c r="P24" s="8" t="n">
        <x:f>M24+O24</x:f>
        <x:v>32596.733761580777</x:v>
      </x:c>
      <x:c r="Q24" s="8" t="n">
        <x:f>P24-H24</x:f>
        <x:v>-1014.0462384192215</x:v>
      </x:c>
      <x:c r="R24" s="8" t="n">
        <x:v>0</x:v>
      </x:c>
      <x:c r="S24" s="8" t="n">
        <x:f>R24*'Resumen'!$B$8</x:f>
        <x:v>0</x:v>
      </x:c>
      <x:c r="T24" s="8" t="n">
        <x:f>M24+S24</x:f>
        <x:v>32596.733761580777</x:v>
      </x:c>
      <x:c r="U24" s="8" t="n">
        <x:f>T24-H24</x:f>
        <x:v>-1014.0462384192215</x:v>
      </x:c>
      <x:c r="V24" s="27" t="n">
        <x:v>0</x:v>
      </x:c>
    </x:row>
    <x:row r="25">
      <x:c r="A25" s="28" t="str">
        <x:v>195121</x:v>
      </x:c>
      <x:c r="B25" s="25" t="n">
        <x:v>14</x:v>
      </x:c>
      <x:c r="C25" s="25" t="n">
        <x:v>9492</x:v>
      </x:c>
      <x:c r="D25" s="25" t="n">
        <x:f>IF(B25=0,0,C25/B25)</x:f>
        <x:v>678</x:v>
      </x:c>
      <x:c r="E25" s="26" t="n">
        <x:f>IF(D25=0,0,D25/MAX($D$6:$D$337))</x:f>
        <x:v>0.4850776778413736</x:v>
      </x:c>
      <x:c r="F25" s="26" t="n">
        <x:f>IF(B25=0,0,B25/MAX($B$6:$B$337))</x:f>
        <x:v>0.5</x:v>
      </x:c>
      <x:c r="G25" s="26" t="n">
        <x:f>'Resumen'!$B$9*E25+'Resumen'!$B$10*F25</x:f>
        <x:v>0.48955437448896155</x:v>
      </x:c>
      <x:c r="H25" s="8" t="n">
        <x:v>193942.66999999995</x:v>
      </x:c>
      <x:c r="I25" s="8" t="n">
        <x:v>85073.26000000001</x:v>
      </x:c>
      <x:c r="J25" s="8" t="n">
        <x:f>MAX(H25-I25,0)</x:f>
        <x:v>108869.40999999995</x:v>
      </x:c>
      <x:c r="K25" s="8" t="n">
        <x:f>J25*G25</x:f>
        <x:v>53297.49591353227</x:v>
      </x:c>
      <x:c r="L25" s="8" t="n">
        <x:f>IFERROR('Resumen'!$B$14*K25/SUM($K$6:$K$337),0)</x:f>
        <x:v>38604.89706868391</x:v>
      </x:c>
      <x:c r="M25" s="8" t="n">
        <x:f>I25+L25</x:f>
        <x:v>123678.15706868391</x:v>
      </x:c>
      <x:c r="N25" s="8" t="n">
        <x:v>0</x:v>
      </x:c>
      <x:c r="O25" s="8" t="n">
        <x:f>N25*'Resumen'!$B$8</x:f>
        <x:v>0</x:v>
      </x:c>
      <x:c r="P25" s="8" t="n">
        <x:f>M25+O25</x:f>
        <x:v>123678.15706868391</x:v>
      </x:c>
      <x:c r="Q25" s="8" t="n">
        <x:f>P25-H25</x:f>
        <x:v>-70264.51293131604</x:v>
      </x:c>
      <x:c r="R25" s="8" t="n">
        <x:v>0</x:v>
      </x:c>
      <x:c r="S25" s="8" t="n">
        <x:f>R25*'Resumen'!$B$8</x:f>
        <x:v>0</x:v>
      </x:c>
      <x:c r="T25" s="8" t="n">
        <x:f>M25+S25</x:f>
        <x:v>123678.15706868391</x:v>
      </x:c>
      <x:c r="U25" s="8" t="n">
        <x:f>T25-H25</x:f>
        <x:v>-70264.51293131604</x:v>
      </x:c>
      <x:c r="V25" s="27" t="n">
        <x:v>0</x:v>
      </x:c>
    </x:row>
    <x:row r="26">
      <x:c r="A26" s="28" t="str">
        <x:v>195122</x:v>
      </x:c>
      <x:c r="B26" s="25" t="n">
        <x:v>12</x:v>
      </x:c>
      <x:c r="C26" s="25" t="n">
        <x:v>1187</x:v>
      </x:c>
      <x:c r="D26" s="25" t="n">
        <x:f>IF(B26=0,0,C26/B26)</x:f>
        <x:v>98.91666666666667</x:v>
      </x:c>
      <x:c r="E26" s="26" t="n">
        <x:f>IF(D26=0,0,D26/MAX($D$6:$D$337))</x:f>
        <x:v>0.07077030526028891</x:v>
      </x:c>
      <x:c r="F26" s="26" t="n">
        <x:f>IF(B26=0,0,B26/MAX($B$6:$B$337))</x:f>
        <x:v>0.42857142857142855</x:v>
      </x:c>
      <x:c r="G26" s="26" t="n">
        <x:f>'Resumen'!$B$9*E26+'Resumen'!$B$10*F26</x:f>
        <x:v>0.1781106422536308</x:v>
      </x:c>
      <x:c r="H26" s="8" t="n">
        <x:v>0</x:v>
      </x:c>
      <x:c r="I26" s="8" t="n">
        <x:v>7519.429999999999</x:v>
      </x:c>
      <x:c r="J26" s="8" t="n">
        <x:f>MAX(H26-I26,0)</x:f>
        <x:v>0</x:v>
      </x:c>
      <x:c r="K26" s="8" t="n">
        <x:f>J26*G26</x:f>
        <x:v>0</x:v>
      </x:c>
      <x:c r="L26" s="8" t="n">
        <x:f>IFERROR('Resumen'!$B$14*K26/SUM($K$6:$K$337),0)</x:f>
        <x:v>0</x:v>
      </x:c>
      <x:c r="M26" s="8" t="n">
        <x:f>I26+L26</x:f>
        <x:v>7519.429999999999</x:v>
      </x:c>
      <x:c r="N26" s="8" t="n">
        <x:v>0</x:v>
      </x:c>
      <x:c r="O26" s="8" t="n">
        <x:f>N26*'Resumen'!$B$8</x:f>
        <x:v>0</x:v>
      </x:c>
      <x:c r="P26" s="8" t="n">
        <x:f>M26+O26</x:f>
        <x:v>7519.429999999999</x:v>
      </x:c>
      <x:c r="Q26" s="8" t="n">
        <x:f>P26-H26</x:f>
        <x:v>7519.429999999999</x:v>
      </x:c>
      <x:c r="R26" s="8" t="n">
        <x:v>0</x:v>
      </x:c>
      <x:c r="S26" s="8" t="n">
        <x:f>R26*'Resumen'!$B$8</x:f>
        <x:v>0</x:v>
      </x:c>
      <x:c r="T26" s="8" t="n">
        <x:f>M26+S26</x:f>
        <x:v>7519.429999999999</x:v>
      </x:c>
      <x:c r="U26" s="8" t="n">
        <x:f>T26-H26</x:f>
        <x:v>7519.429999999999</x:v>
      </x:c>
      <x:c r="V26" s="27" t="n">
        <x:v>0</x:v>
      </x:c>
    </x:row>
    <x:row r="27">
      <x:c r="A27" s="28" t="str">
        <x:v>196370</x:v>
      </x:c>
      <x:c r="B27" s="25" t="n">
        <x:v>21</x:v>
      </x:c>
      <x:c r="C27" s="25" t="n">
        <x:v>15878</x:v>
      </x:c>
      <x:c r="D27" s="25" t="n">
        <x:f>IF(B27=0,0,C27/B27)</x:f>
        <x:v>756.0952380952381</x:v>
      </x:c>
      <x:c r="E27" s="26" t="n">
        <x:f>IF(D27=0,0,D27/MAX($D$6:$D$337))</x:f>
        <x:v>0.5409512128645407</x:v>
      </x:c>
      <x:c r="F27" s="26" t="n">
        <x:f>IF(B27=0,0,B27/MAX($B$6:$B$337))</x:f>
        <x:v>0.75</x:v>
      </x:c>
      <x:c r="G27" s="26" t="n">
        <x:f>'Resumen'!$B$9*E27+'Resumen'!$B$10*F27</x:f>
        <x:v>0.6036658490051785</x:v>
      </x:c>
      <x:c r="H27" s="8" t="n">
        <x:v>113859.13999999997</x:v>
      </x:c>
      <x:c r="I27" s="8" t="n">
        <x:v>110714.67999999998</x:v>
      </x:c>
      <x:c r="J27" s="8" t="n">
        <x:f>MAX(H27-I27,0)</x:f>
        <x:v>3144.459999999992</x:v>
      </x:c>
      <x:c r="K27" s="8" t="n">
        <x:f>J27*G27</x:f>
        <x:v>1898.2031155628188</x:v>
      </x:c>
      <x:c r="L27" s="8" t="n">
        <x:f>IFERROR('Resumen'!$B$14*K27/SUM($K$6:$K$337),0)</x:f>
        <x:v>1374.9226794940644</x:v>
      </x:c>
      <x:c r="M27" s="8" t="n">
        <x:f>I27+L27</x:f>
        <x:v>112089.60267949404</x:v>
      </x:c>
      <x:c r="N27" s="8" t="n">
        <x:v>0</x:v>
      </x:c>
      <x:c r="O27" s="8" t="n">
        <x:f>N27*'Resumen'!$B$8</x:f>
        <x:v>0</x:v>
      </x:c>
      <x:c r="P27" s="8" t="n">
        <x:f>M27+O27</x:f>
        <x:v>112089.60267949404</x:v>
      </x:c>
      <x:c r="Q27" s="8" t="n">
        <x:f>P27-H27</x:f>
        <x:v>-1769.5373205059295</x:v>
      </x:c>
      <x:c r="R27" s="8" t="n">
        <x:v>0</x:v>
      </x:c>
      <x:c r="S27" s="8" t="n">
        <x:f>R27*'Resumen'!$B$8</x:f>
        <x:v>0</x:v>
      </x:c>
      <x:c r="T27" s="8" t="n">
        <x:f>M27+S27</x:f>
        <x:v>112089.60267949404</x:v>
      </x:c>
      <x:c r="U27" s="8" t="n">
        <x:f>T27-H27</x:f>
        <x:v>-1769.5373205059295</x:v>
      </x:c>
      <x:c r="V27" s="27" t="n">
        <x:v>0</x:v>
      </x:c>
    </x:row>
    <x:row r="28">
      <x:c r="A28" s="28" t="str">
        <x:v>196375</x:v>
      </x:c>
      <x:c r="B28" s="25" t="n">
        <x:v>11</x:v>
      </x:c>
      <x:c r="C28" s="25" t="n">
        <x:v>6300</x:v>
      </x:c>
      <x:c r="D28" s="25" t="n">
        <x:f>IF(B28=0,0,C28/B28)</x:f>
        <x:v>572.7272727272727</x:v>
      </x:c>
      <x:c r="E28" s="26" t="n">
        <x:f>IF(D28=0,0,D28/MAX($D$6:$D$337))</x:f>
        <x:v>0.40975990485393593</x:v>
      </x:c>
      <x:c r="F28" s="26" t="n">
        <x:f>IF(B28=0,0,B28/MAX($B$6:$B$337))</x:f>
        <x:v>0.39285714285714285</x:v>
      </x:c>
      <x:c r="G28" s="26" t="n">
        <x:f>'Resumen'!$B$9*E28+'Resumen'!$B$10*F28</x:f>
        <x:v>0.40468907625489803</x:v>
      </x:c>
      <x:c r="H28" s="8" t="n">
        <x:v>142764.22</x:v>
      </x:c>
      <x:c r="I28" s="8" t="n">
        <x:v>39869.5</x:v>
      </x:c>
      <x:c r="J28" s="8" t="n">
        <x:f>MAX(H28-I28,0)</x:f>
        <x:v>102894.72</x:v>
      </x:c>
      <x:c r="K28" s="8" t="n">
        <x:f>J28*G28</x:f>
        <x:v>41640.36918830638</x:v>
      </x:c>
      <x:c r="L28" s="8" t="n">
        <x:f>IFERROR('Resumen'!$B$14*K28/SUM($K$6:$K$337),0)</x:f>
        <x:v>30161.307559825036</x:v>
      </x:c>
      <x:c r="M28" s="8" t="n">
        <x:f>I28+L28</x:f>
        <x:v>70030.80755982504</x:v>
      </x:c>
      <x:c r="N28" s="8" t="n">
        <x:v>0</x:v>
      </x:c>
      <x:c r="O28" s="8" t="n">
        <x:f>N28*'Resumen'!$B$8</x:f>
        <x:v>0</x:v>
      </x:c>
      <x:c r="P28" s="8" t="n">
        <x:f>M28+O28</x:f>
        <x:v>70030.80755982504</x:v>
      </x:c>
      <x:c r="Q28" s="8" t="n">
        <x:f>P28-H28</x:f>
        <x:v>-72733.41244017496</x:v>
      </x:c>
      <x:c r="R28" s="8" t="n">
        <x:v>0</x:v>
      </x:c>
      <x:c r="S28" s="8" t="n">
        <x:f>R28*'Resumen'!$B$8</x:f>
        <x:v>0</x:v>
      </x:c>
      <x:c r="T28" s="8" t="n">
        <x:f>M28+S28</x:f>
        <x:v>70030.80755982504</x:v>
      </x:c>
      <x:c r="U28" s="8" t="n">
        <x:f>T28-H28</x:f>
        <x:v>-72733.41244017496</x:v>
      </x:c>
      <x:c r="V28" s="27" t="n">
        <x:v>0</x:v>
      </x:c>
    </x:row>
    <x:row r="29">
      <x:c r="A29" s="28" t="str">
        <x:v>197259</x:v>
      </x:c>
      <x:c r="B29" s="25" t="n">
        <x:v>4</x:v>
      </x:c>
      <x:c r="C29" s="25" t="n">
        <x:v>0</x:v>
      </x:c>
      <x:c r="D29" s="25" t="n">
        <x:f>IF(B29=0,0,C29/B29)</x:f>
        <x:v>0</x:v>
      </x:c>
      <x:c r="E29" s="26" t="n">
        <x:f>IF(D29=0,0,D29/MAX($D$6:$D$337))</x:f>
        <x:v>0</x:v>
      </x:c>
      <x:c r="F29" s="26" t="n">
        <x:f>IF(B29=0,0,B29/MAX($B$6:$B$337))</x:f>
        <x:v>0.14285714285714285</x:v>
      </x:c>
      <x:c r="G29" s="26" t="n">
        <x:f>'Resumen'!$B$9*E29+'Resumen'!$B$10*F29</x:f>
        <x:v>0.04285714285714285</x:v>
      </x:c>
      <x:c r="H29" s="8" t="n">
        <x:v>0</x:v>
      </x:c>
      <x:c r="I29" s="8" t="n">
        <x:v>0</x:v>
      </x:c>
      <x:c r="J29" s="8" t="n">
        <x:f>MAX(H29-I29,0)</x:f>
        <x:v>0</x:v>
      </x:c>
      <x:c r="K29" s="8" t="n">
        <x:f>J29*G29</x:f>
        <x:v>0</x:v>
      </x:c>
      <x:c r="L29" s="8" t="n">
        <x:f>IFERROR('Resumen'!$B$14*K29/SUM($K$6:$K$337),0)</x:f>
        <x:v>0</x:v>
      </x:c>
      <x:c r="M29" s="8" t="n">
        <x:f>I29+L29</x:f>
        <x:v>0</x:v>
      </x:c>
      <x:c r="N29" s="8" t="n">
        <x:v>0</x:v>
      </x:c>
      <x:c r="O29" s="8" t="n">
        <x:f>N29*'Resumen'!$B$8</x:f>
        <x:v>0</x:v>
      </x:c>
      <x:c r="P29" s="8" t="n">
        <x:f>M29+O29</x:f>
        <x:v>0</x:v>
      </x:c>
      <x:c r="Q29" s="8" t="n">
        <x:f>P29-H29</x:f>
        <x:v>0</x:v>
      </x:c>
      <x:c r="R29" s="8" t="n">
        <x:v>0</x:v>
      </x:c>
      <x:c r="S29" s="8" t="n">
        <x:f>R29*'Resumen'!$B$8</x:f>
        <x:v>0</x:v>
      </x:c>
      <x:c r="T29" s="8" t="n">
        <x:f>M29+S29</x:f>
        <x:v>0</x:v>
      </x:c>
      <x:c r="U29" s="8" t="n">
        <x:f>T29-H29</x:f>
        <x:v>0</x:v>
      </x:c>
      <x:c r="V29" s="27" t="n">
        <x:v>0</x:v>
      </x:c>
    </x:row>
    <x:row r="30">
      <x:c r="A30" s="28" t="str">
        <x:v>198019</x:v>
      </x:c>
      <x:c r="B30" s="25" t="n">
        <x:v>21</x:v>
      </x:c>
      <x:c r="C30" s="25" t="n">
        <x:v>19222</x:v>
      </x:c>
      <x:c r="D30" s="25" t="n">
        <x:f>IF(B30=0,0,C30/B30)</x:f>
        <x:v>915.3333333333334</x:v>
      </x:c>
      <x:c r="E30" s="26" t="n">
        <x:f>IF(D30=0,0,D30/MAX($D$6:$D$337))</x:f>
        <x:v>0.6548787135459253</x:v>
      </x:c>
      <x:c r="F30" s="26" t="n">
        <x:f>IF(B30=0,0,B30/MAX($B$6:$B$337))</x:f>
        <x:v>0.75</x:v>
      </x:c>
      <x:c r="G30" s="26" t="n">
        <x:f>'Resumen'!$B$9*E30+'Resumen'!$B$10*F30</x:f>
        <x:v>0.6834150994821477</x:v>
      </x:c>
      <x:c r="H30" s="8" t="n">
        <x:v>469959.61</x:v>
      </x:c>
      <x:c r="I30" s="8" t="n">
        <x:v>150738.03999999998</x:v>
      </x:c>
      <x:c r="J30" s="8" t="n">
        <x:f>MAX(H30-I30,0)</x:f>
        <x:v>319221.57</x:v>
      </x:c>
      <x:c r="K30" s="8" t="n">
        <x:f>J30*G30</x:f>
        <x:v>218160.8410183974</x:v>
      </x:c>
      <x:c r="L30" s="8" t="n">
        <x:f>IFERROR('Resumen'!$B$14*K30/SUM($K$6:$K$337),0)</x:f>
        <x:v>158020.122100978</x:v>
      </x:c>
      <x:c r="M30" s="8" t="n">
        <x:f>I30+L30</x:f>
        <x:v>308758.16210097796</x:v>
      </x:c>
      <x:c r="N30" s="8" t="n">
        <x:v>0</x:v>
      </x:c>
      <x:c r="O30" s="8" t="n">
        <x:f>N30*'Resumen'!$B$8</x:f>
        <x:v>0</x:v>
      </x:c>
      <x:c r="P30" s="8" t="n">
        <x:f>M30+O30</x:f>
        <x:v>308758.16210097796</x:v>
      </x:c>
      <x:c r="Q30" s="8" t="n">
        <x:f>P30-H30</x:f>
        <x:v>-161201.44789902202</x:v>
      </x:c>
      <x:c r="R30" s="8" t="n">
        <x:v>0</x:v>
      </x:c>
      <x:c r="S30" s="8" t="n">
        <x:f>R30*'Resumen'!$B$8</x:f>
        <x:v>0</x:v>
      </x:c>
      <x:c r="T30" s="8" t="n">
        <x:f>M30+S30</x:f>
        <x:v>308758.16210097796</x:v>
      </x:c>
      <x:c r="U30" s="8" t="n">
        <x:f>T30-H30</x:f>
        <x:v>-161201.44789902202</x:v>
      </x:c>
      <x:c r="V30" s="27" t="n">
        <x:v>0</x:v>
      </x:c>
    </x:row>
    <x:row r="31">
      <x:c r="A31" s="28" t="str">
        <x:v>198106</x:v>
      </x:c>
      <x:c r="B31" s="25" t="n">
        <x:v>4</x:v>
      </x:c>
      <x:c r="C31" s="25" t="n">
        <x:v>3339</x:v>
      </x:c>
      <x:c r="D31" s="25" t="n">
        <x:f>IF(B31=0,0,C31/B31)</x:f>
        <x:v>834.75</x:v>
      </x:c>
      <x:c r="E31" s="26" t="n">
        <x:f>IF(D31=0,0,D31/MAX($D$6:$D$337))</x:f>
        <x:v>0.5972250613246116</x:v>
      </x:c>
      <x:c r="F31" s="26" t="n">
        <x:f>IF(B31=0,0,B31/MAX($B$6:$B$337))</x:f>
        <x:v>0.14285714285714285</x:v>
      </x:c>
      <x:c r="G31" s="26" t="n">
        <x:f>'Resumen'!$B$9*E31+'Resumen'!$B$10*F31</x:f>
        <x:v>0.460914685784371</x:v>
      </x:c>
      <x:c r="H31" s="8" t="n">
        <x:v>26416.519999999997</x:v>
      </x:c>
      <x:c r="I31" s="8" t="n">
        <x:v>32119.3</x:v>
      </x:c>
      <x:c r="J31" s="8" t="n">
        <x:f>MAX(H31-I31,0)</x:f>
        <x:v>0</x:v>
      </x:c>
      <x:c r="K31" s="8" t="n">
        <x:f>J31*G31</x:f>
        <x:v>0</x:v>
      </x:c>
      <x:c r="L31" s="8" t="n">
        <x:f>IFERROR('Resumen'!$B$14*K31/SUM($K$6:$K$337),0)</x:f>
        <x:v>0</x:v>
      </x:c>
      <x:c r="M31" s="8" t="n">
        <x:f>I31+L31</x:f>
        <x:v>32119.3</x:v>
      </x:c>
      <x:c r="N31" s="8" t="n">
        <x:v>0</x:v>
      </x:c>
      <x:c r="O31" s="8" t="n">
        <x:f>N31*'Resumen'!$B$8</x:f>
        <x:v>0</x:v>
      </x:c>
      <x:c r="P31" s="8" t="n">
        <x:f>M31+O31</x:f>
        <x:v>32119.3</x:v>
      </x:c>
      <x:c r="Q31" s="8" t="n">
        <x:f>P31-H31</x:f>
        <x:v>5702.7800000000025</x:v>
      </x:c>
      <x:c r="R31" s="8" t="n">
        <x:v>0</x:v>
      </x:c>
      <x:c r="S31" s="8" t="n">
        <x:f>R31*'Resumen'!$B$8</x:f>
        <x:v>0</x:v>
      </x:c>
      <x:c r="T31" s="8" t="n">
        <x:f>M31+S31</x:f>
        <x:v>32119.3</x:v>
      </x:c>
      <x:c r="U31" s="8" t="n">
        <x:f>T31-H31</x:f>
        <x:v>5702.7800000000025</x:v>
      </x:c>
      <x:c r="V31" s="27" t="n">
        <x:v>0</x:v>
      </x:c>
    </x:row>
    <x:row r="32">
      <x:c r="A32" s="28" t="str">
        <x:v>198108</x:v>
      </x:c>
      <x:c r="B32" s="25" t="n">
        <x:v>6</x:v>
      </x:c>
      <x:c r="C32" s="25" t="n">
        <x:v>3335</x:v>
      </x:c>
      <x:c r="D32" s="25" t="n">
        <x:f>IF(B32=0,0,C32/B32)</x:f>
        <x:v>555.8333333333334</x:v>
      </x:c>
      <x:c r="E32" s="26" t="n">
        <x:f>IF(D32=0,0,D32/MAX($D$6:$D$337))</x:f>
        <x:v>0.3976730716816571</x:v>
      </x:c>
      <x:c r="F32" s="26" t="n">
        <x:f>IF(B32=0,0,B32/MAX($B$6:$B$337))</x:f>
        <x:v>0.21428571428571427</x:v>
      </x:c>
      <x:c r="G32" s="26" t="n">
        <x:f>'Resumen'!$B$9*E32+'Resumen'!$B$10*F32</x:f>
        <x:v>0.34265686446287424</x:v>
      </x:c>
      <x:c r="H32" s="8" t="n">
        <x:v>30173.72</x:v>
      </x:c>
      <x:c r="I32" s="8" t="n">
        <x:v>23599.440000000002</x:v>
      </x:c>
      <x:c r="J32" s="8" t="n">
        <x:f>MAX(H32-I32,0)</x:f>
        <x:v>6574.279999999999</x:v>
      </x:c>
      <x:c r="K32" s="8" t="n">
        <x:f>J32*G32</x:f>
        <x:v>2252.7221709009846</x:v>
      </x:c>
      <x:c r="L32" s="8" t="n">
        <x:f>IFERROR('Resumen'!$B$14*K32/SUM($K$6:$K$337),0)</x:f>
        <x:v>1631.7109470408332</x:v>
      </x:c>
      <x:c r="M32" s="8" t="n">
        <x:f>I32+L32</x:f>
        <x:v>25231.150947040835</x:v>
      </x:c>
      <x:c r="N32" s="8" t="n">
        <x:v>0</x:v>
      </x:c>
      <x:c r="O32" s="8" t="n">
        <x:f>N32*'Resumen'!$B$8</x:f>
        <x:v>0</x:v>
      </x:c>
      <x:c r="P32" s="8" t="n">
        <x:f>M32+O32</x:f>
        <x:v>25231.150947040835</x:v>
      </x:c>
      <x:c r="Q32" s="8" t="n">
        <x:f>P32-H32</x:f>
        <x:v>-4942.569052959167</x:v>
      </x:c>
      <x:c r="R32" s="8" t="n">
        <x:v>0</x:v>
      </x:c>
      <x:c r="S32" s="8" t="n">
        <x:f>R32*'Resumen'!$B$8</x:f>
        <x:v>0</x:v>
      </x:c>
      <x:c r="T32" s="8" t="n">
        <x:f>M32+S32</x:f>
        <x:v>25231.150947040835</x:v>
      </x:c>
      <x:c r="U32" s="8" t="n">
        <x:f>T32-H32</x:f>
        <x:v>-4942.569052959167</x:v>
      </x:c>
      <x:c r="V32" s="27" t="n">
        <x:v>0</x:v>
      </x:c>
    </x:row>
    <x:row r="33">
      <x:c r="A33" s="28" t="str">
        <x:v>198633</x:v>
      </x:c>
      <x:c r="B33" s="25" t="n">
        <x:v>22</x:v>
      </x:c>
      <x:c r="C33" s="25" t="n">
        <x:v>19596</x:v>
      </x:c>
      <x:c r="D33" s="25" t="n">
        <x:f>IF(B33=0,0,C33/B33)</x:f>
        <x:v>890.7272727272727</x:v>
      </x:c>
      <x:c r="E33" s="26" t="n">
        <x:f>IF(D33=0,0,D33/MAX($D$6:$D$337))</x:f>
        <x:v>0.6372742139299784</x:v>
      </x:c>
      <x:c r="F33" s="26" t="n">
        <x:f>IF(B33=0,0,B33/MAX($B$6:$B$337))</x:f>
        <x:v>0.7857142857142857</x:v>
      </x:c>
      <x:c r="G33" s="26" t="n">
        <x:f>'Resumen'!$B$9*E33+'Resumen'!$B$10*F33</x:f>
        <x:v>0.6818062354652705</x:v>
      </x:c>
      <x:c r="H33" s="8" t="n">
        <x:v>297189.09</x:v>
      </x:c>
      <x:c r="I33" s="8" t="n">
        <x:v>219222.72999999995</x:v>
      </x:c>
      <x:c r="J33" s="8" t="n">
        <x:f>MAX(H33-I33,0)</x:f>
        <x:v>77966.36000000007</x:v>
      </x:c>
      <x:c r="K33" s="8" t="n">
        <x:f>J33*G33</x:f>
        <x:v>53157.9504045301</x:v>
      </x:c>
      <x:c r="L33" s="8" t="n">
        <x:f>IFERROR('Resumen'!$B$14*K33/SUM($K$6:$K$337),0)</x:f>
        <x:v>38503.82027475412</x:v>
      </x:c>
      <x:c r="M33" s="8" t="n">
        <x:f>I33+L33</x:f>
        <x:v>257726.55027475406</x:v>
      </x:c>
      <x:c r="N33" s="8" t="n">
        <x:v>0</x:v>
      </x:c>
      <x:c r="O33" s="8" t="n">
        <x:f>N33*'Resumen'!$B$8</x:f>
        <x:v>0</x:v>
      </x:c>
      <x:c r="P33" s="8" t="n">
        <x:f>M33+O33</x:f>
        <x:v>257726.55027475406</x:v>
      </x:c>
      <x:c r="Q33" s="8" t="n">
        <x:f>P33-H33</x:f>
        <x:v>-39462.539725245966</x:v>
      </x:c>
      <x:c r="R33" s="8" t="n">
        <x:v>0</x:v>
      </x:c>
      <x:c r="S33" s="8" t="n">
        <x:f>R33*'Resumen'!$B$8</x:f>
        <x:v>0</x:v>
      </x:c>
      <x:c r="T33" s="8" t="n">
        <x:f>M33+S33</x:f>
        <x:v>257726.55027475406</x:v>
      </x:c>
      <x:c r="U33" s="8" t="n">
        <x:f>T33-H33</x:f>
        <x:v>-39462.539725245966</x:v>
      </x:c>
      <x:c r="V33" s="27" t="n">
        <x:v>0</x:v>
      </x:c>
    </x:row>
    <x:row r="34">
      <x:c r="A34" s="28" t="str">
        <x:v>198635</x:v>
      </x:c>
      <x:c r="B34" s="25" t="n">
        <x:v>26</x:v>
      </x:c>
      <x:c r="C34" s="25" t="n">
        <x:v>29465</x:v>
      </x:c>
      <x:c r="D34" s="25" t="n">
        <x:f>IF(B34=0,0,C34/B34)</x:f>
        <x:v>1133.2692307692307</x:v>
      </x:c>
      <x:c r="E34" s="26" t="n">
        <x:f>IF(D34=0,0,D34/MAX($D$6:$D$337))</x:f>
        <x:v>0.8108017799861625</x:v>
      </x:c>
      <x:c r="F34" s="26" t="n">
        <x:f>IF(B34=0,0,B34/MAX($B$6:$B$337))</x:f>
        <x:v>0.9285714285714286</x:v>
      </x:c>
      <x:c r="G34" s="26" t="n">
        <x:f>'Resumen'!$B$9*E34+'Resumen'!$B$10*F34</x:f>
        <x:v>0.8461326745617423</x:v>
      </x:c>
      <x:c r="H34" s="8" t="n">
        <x:v>501583.5800000001</x:v>
      </x:c>
      <x:c r="I34" s="8" t="n">
        <x:v>309843.35</x:v>
      </x:c>
      <x:c r="J34" s="8" t="n">
        <x:f>MAX(H34-I34,0)</x:f>
        <x:v>191740.2300000001</x:v>
      </x:c>
      <x:c r="K34" s="8" t="n">
        <x:f>J34*G34</x:f>
        <x:v>162237.6736309837</x:v>
      </x:c>
      <x:c r="L34" s="8" t="n">
        <x:f>IFERROR('Resumen'!$B$14*K34/SUM($K$6:$K$337),0)</x:f>
        <x:v>117513.37626345475</x:v>
      </x:c>
      <x:c r="M34" s="8" t="n">
        <x:f>I34+L34</x:f>
        <x:v>427356.7262634547</x:v>
      </x:c>
      <x:c r="N34" s="8" t="n">
        <x:v>634099.3200000001</x:v>
      </x:c>
      <x:c r="O34" s="8" t="n">
        <x:f>N34*'Resumen'!$B$8</x:f>
        <x:v>190229.796</x:v>
      </x:c>
      <x:c r="P34" s="8" t="n">
        <x:f>M34+O34</x:f>
        <x:v>617586.5222634547</x:v>
      </x:c>
      <x:c r="Q34" s="8" t="n">
        <x:f>P34-H34</x:f>
        <x:v>116002.94226345466</x:v>
      </x:c>
      <x:c r="R34" s="8" t="n">
        <x:v>587297.36</x:v>
      </x:c>
      <x:c r="S34" s="8" t="n">
        <x:f>R34*'Resumen'!$B$8</x:f>
        <x:v>176189.20799999998</x:v>
      </x:c>
      <x:c r="T34" s="8" t="n">
        <x:f>M34+S34</x:f>
        <x:v>603545.9342634548</x:v>
      </x:c>
      <x:c r="U34" s="8" t="n">
        <x:f>T34-H34</x:f>
        <x:v>101962.35426345468</x:v>
      </x:c>
      <x:c r="V34" s="27" t="n">
        <x:v>18</x:v>
      </x:c>
    </x:row>
    <x:row r="35">
      <x:c r="A35" s="28" t="str">
        <x:v>198671</x:v>
      </x:c>
      <x:c r="B35" s="25" t="n">
        <x:v>6</x:v>
      </x:c>
      <x:c r="C35" s="25" t="n">
        <x:v>4069</x:v>
      </x:c>
      <x:c r="D35" s="25" t="n">
        <x:f>IF(B35=0,0,C35/B35)</x:f>
        <x:v>678.1666666666666</x:v>
      </x:c>
      <x:c r="E35" s="26" t="n">
        <x:f>IF(D35=0,0,D35/MAX($D$6:$D$337))</x:f>
        <x:v>0.48519692014172794</x:v>
      </x:c>
      <x:c r="F35" s="26" t="n">
        <x:f>IF(B35=0,0,B35/MAX($B$6:$B$337))</x:f>
        <x:v>0.21428571428571427</x:v>
      </x:c>
      <x:c r="G35" s="26" t="n">
        <x:f>'Resumen'!$B$9*E35+'Resumen'!$B$10*F35</x:f>
        <x:v>0.40392355838492383</x:v>
      </x:c>
      <x:c r="H35" s="8" t="n">
        <x:v>29185.729999999996</x:v>
      </x:c>
      <x:c r="I35" s="8" t="n">
        <x:v>26811.809999999998</x:v>
      </x:c>
      <x:c r="J35" s="8" t="n">
        <x:f>MAX(H35-I35,0)</x:f>
        <x:v>2373.9199999999983</x:v>
      </x:c>
      <x:c r="K35" s="8" t="n">
        <x:f>J35*G35</x:f>
        <x:v>958.8822137211376</x:v>
      </x:c>
      <x:c r="L35" s="8" t="n">
        <x:f>IFERROR('Resumen'!$B$14*K35/SUM($K$6:$K$337),0)</x:f>
        <x:v>694.5457479231685</x:v>
      </x:c>
      <x:c r="M35" s="8" t="n">
        <x:f>I35+L35</x:f>
        <x:v>27506.355747923168</x:v>
      </x:c>
      <x:c r="N35" s="8" t="n">
        <x:v>0</x:v>
      </x:c>
      <x:c r="O35" s="8" t="n">
        <x:f>N35*'Resumen'!$B$8</x:f>
        <x:v>0</x:v>
      </x:c>
      <x:c r="P35" s="8" t="n">
        <x:f>M35+O35</x:f>
        <x:v>27506.355747923168</x:v>
      </x:c>
      <x:c r="Q35" s="8" t="n">
        <x:f>P35-H35</x:f>
        <x:v>-1679.3742520768283</x:v>
      </x:c>
      <x:c r="R35" s="8" t="n">
        <x:v>0</x:v>
      </x:c>
      <x:c r="S35" s="8" t="n">
        <x:f>R35*'Resumen'!$B$8</x:f>
        <x:v>0</x:v>
      </x:c>
      <x:c r="T35" s="8" t="n">
        <x:f>M35+S35</x:f>
        <x:v>27506.355747923168</x:v>
      </x:c>
      <x:c r="U35" s="8" t="n">
        <x:f>T35-H35</x:f>
        <x:v>-1679.3742520768283</x:v>
      </x:c>
      <x:c r="V35" s="27" t="n">
        <x:v>0</x:v>
      </x:c>
    </x:row>
    <x:row r="36">
      <x:c r="A36" s="28" t="str">
        <x:v>198873</x:v>
      </x:c>
      <x:c r="B36" s="25" t="n">
        <x:v>26</x:v>
      </x:c>
      <x:c r="C36" s="25" t="n">
        <x:v>32586</x:v>
      </x:c>
      <x:c r="D36" s="25" t="n">
        <x:f>IF(B36=0,0,C36/B36)</x:f>
        <x:v>1253.3076923076924</x:v>
      </x:c>
      <x:c r="E36" s="26" t="n">
        <x:f>IF(D36=0,0,D36/MAX($D$6:$D$337))</x:f>
        <x:v>0.8966837536952009</x:v>
      </x:c>
      <x:c r="F36" s="26" t="n">
        <x:f>IF(B36=0,0,B36/MAX($B$6:$B$337))</x:f>
        <x:v>0.9285714285714286</x:v>
      </x:c>
      <x:c r="G36" s="26" t="n">
        <x:f>'Resumen'!$B$9*E36+'Resumen'!$B$10*F36</x:f>
        <x:v>0.9062500561580692</x:v>
      </x:c>
      <x:c r="H36" s="8" t="n">
        <x:v>624525.3499999999</x:v>
      </x:c>
      <x:c r="I36" s="8" t="n">
        <x:v>404653.62</x:v>
      </x:c>
      <x:c r="J36" s="8" t="n">
        <x:f>MAX(H36-I36,0)</x:f>
        <x:v>219871.72999999986</x:v>
      </x:c>
      <x:c r="K36" s="8" t="n">
        <x:f>J36*G36</x:f>
        <x:v>199258.7676600717</x:v>
      </x:c>
      <x:c r="L36" s="8" t="n">
        <x:f>IFERROR('Resumen'!$B$14*K36/SUM($K$6:$K$337),0)</x:f>
        <x:v>144328.81102012098</x:v>
      </x:c>
      <x:c r="M36" s="8" t="n">
        <x:f>I36+L36</x:f>
        <x:v>548982.431020121</x:v>
      </x:c>
      <x:c r="N36" s="8" t="n">
        <x:v>0</x:v>
      </x:c>
      <x:c r="O36" s="8" t="n">
        <x:f>N36*'Resumen'!$B$8</x:f>
        <x:v>0</x:v>
      </x:c>
      <x:c r="P36" s="8" t="n">
        <x:f>M36+O36</x:f>
        <x:v>548982.431020121</x:v>
      </x:c>
      <x:c r="Q36" s="8" t="n">
        <x:f>P36-H36</x:f>
        <x:v>-75542.91897987889</x:v>
      </x:c>
      <x:c r="R36" s="8" t="n">
        <x:v>0</x:v>
      </x:c>
      <x:c r="S36" s="8" t="n">
        <x:f>R36*'Resumen'!$B$8</x:f>
        <x:v>0</x:v>
      </x:c>
      <x:c r="T36" s="8" t="n">
        <x:f>M36+S36</x:f>
        <x:v>548982.431020121</x:v>
      </x:c>
      <x:c r="U36" s="8" t="n">
        <x:f>T36-H36</x:f>
        <x:v>-75542.91897987889</x:v>
      </x:c>
      <x:c r="V36" s="27" t="n">
        <x:v>0</x:v>
      </x:c>
    </x:row>
    <x:row r="37">
      <x:c r="A37" s="28" t="str">
        <x:v>198874</x:v>
      </x:c>
      <x:c r="B37" s="25" t="n">
        <x:v>7</x:v>
      </x:c>
      <x:c r="C37" s="25" t="n">
        <x:v>5011</x:v>
      </x:c>
      <x:c r="D37" s="25" t="n">
        <x:f>IF(B37=0,0,C37/B37)</x:f>
        <x:v>715.8571428571429</x:v>
      </x:c>
      <x:c r="E37" s="26" t="n">
        <x:f>IF(D37=0,0,D37/MAX($D$6:$D$337))</x:f>
        <x:v>0.5121627146361406</x:v>
      </x:c>
      <x:c r="F37" s="26" t="n">
        <x:f>IF(B37=0,0,B37/MAX($B$6:$B$337))</x:f>
        <x:v>0.25</x:v>
      </x:c>
      <x:c r="G37" s="26" t="n">
        <x:f>'Resumen'!$B$9*E37+'Resumen'!$B$10*F37</x:f>
        <x:v>0.4335139002452984</x:v>
      </x:c>
      <x:c r="H37" s="8" t="n">
        <x:v>45601.54</x:v>
      </x:c>
      <x:c r="I37" s="8" t="n">
        <x:v>43404.88</x:v>
      </x:c>
      <x:c r="J37" s="8" t="n">
        <x:f>MAX(H37-I37,0)</x:f>
        <x:v>2196.6600000000035</x:v>
      </x:c>
      <x:c r="K37" s="8" t="n">
        <x:f>J37*G37</x:f>
        <x:v>952.2826441128387</x:v>
      </x:c>
      <x:c r="L37" s="8" t="n">
        <x:f>IFERROR('Resumen'!$B$14*K37/SUM($K$6:$K$337),0)</x:f>
        <x:v>689.7654913452735</x:v>
      </x:c>
      <x:c r="M37" s="8" t="n">
        <x:f>I37+L37</x:f>
        <x:v>44094.64549134527</x:v>
      </x:c>
      <x:c r="N37" s="8" t="n">
        <x:v>0</x:v>
      </x:c>
      <x:c r="O37" s="8" t="n">
        <x:f>N37*'Resumen'!$B$8</x:f>
        <x:v>0</x:v>
      </x:c>
      <x:c r="P37" s="8" t="n">
        <x:f>M37+O37</x:f>
        <x:v>44094.64549134527</x:v>
      </x:c>
      <x:c r="Q37" s="8" t="n">
        <x:f>P37-H37</x:f>
        <x:v>-1506.894508654732</x:v>
      </x:c>
      <x:c r="R37" s="8" t="n">
        <x:v>0</x:v>
      </x:c>
      <x:c r="S37" s="8" t="n">
        <x:f>R37*'Resumen'!$B$8</x:f>
        <x:v>0</x:v>
      </x:c>
      <x:c r="T37" s="8" t="n">
        <x:f>M37+S37</x:f>
        <x:v>44094.64549134527</x:v>
      </x:c>
      <x:c r="U37" s="8" t="n">
        <x:f>T37-H37</x:f>
        <x:v>-1506.894508654732</x:v>
      </x:c>
      <x:c r="V37" s="27" t="n">
        <x:v>0</x:v>
      </x:c>
    </x:row>
    <x:row r="38">
      <x:c r="A38" s="28" t="str">
        <x:v>198876</x:v>
      </x:c>
      <x:c r="B38" s="25" t="n">
        <x:v>7</x:v>
      </x:c>
      <x:c r="C38" s="25" t="n">
        <x:v>5672</x:v>
      </x:c>
      <x:c r="D38" s="25" t="n">
        <x:f>IF(B38=0,0,C38/B38)</x:f>
        <x:v>810.2857142857143</x:v>
      </x:c>
      <x:c r="E38" s="26" t="n">
        <x:f>IF(D38=0,0,D38/MAX($D$6:$D$337))</x:f>
        <x:v>0.5797219950940311</x:v>
      </x:c>
      <x:c r="F38" s="26" t="n">
        <x:f>IF(B38=0,0,B38/MAX($B$6:$B$337))</x:f>
        <x:v>0.25</x:v>
      </x:c>
      <x:c r="G38" s="26" t="n">
        <x:f>'Resumen'!$B$9*E38+'Resumen'!$B$10*F38</x:f>
        <x:v>0.4808053965658218</x:v>
      </x:c>
      <x:c r="H38" s="8" t="n">
        <x:v>46604.2</x:v>
      </x:c>
      <x:c r="I38" s="8" t="n">
        <x:v>36036.11</x:v>
      </x:c>
      <x:c r="J38" s="8" t="n">
        <x:f>MAX(H38-I38,0)</x:f>
        <x:v>10568.089999999997</x:v>
      </x:c>
      <x:c r="K38" s="8" t="n">
        <x:f>J38*G38</x:f>
        <x:v>5081.194703393294</x:v>
      </x:c>
      <x:c r="L38" s="8" t="n">
        <x:f>IFERROR('Resumen'!$B$14*K38/SUM($K$6:$K$337),0)</x:f>
        <x:v>3680.454309310901</x:v>
      </x:c>
      <x:c r="M38" s="8" t="n">
        <x:f>I38+L38</x:f>
        <x:v>39716.5643093109</x:v>
      </x:c>
      <x:c r="N38" s="8" t="n">
        <x:v>0</x:v>
      </x:c>
      <x:c r="O38" s="8" t="n">
        <x:f>N38*'Resumen'!$B$8</x:f>
        <x:v>0</x:v>
      </x:c>
      <x:c r="P38" s="8" t="n">
        <x:f>M38+O38</x:f>
        <x:v>39716.5643093109</x:v>
      </x:c>
      <x:c r="Q38" s="8" t="n">
        <x:f>P38-H38</x:f>
        <x:v>-6887.635690689094</x:v>
      </x:c>
      <x:c r="R38" s="8" t="n">
        <x:v>0</x:v>
      </x:c>
      <x:c r="S38" s="8" t="n">
        <x:f>R38*'Resumen'!$B$8</x:f>
        <x:v>0</x:v>
      </x:c>
      <x:c r="T38" s="8" t="n">
        <x:f>M38+S38</x:f>
        <x:v>39716.5643093109</x:v>
      </x:c>
      <x:c r="U38" s="8" t="n">
        <x:f>T38-H38</x:f>
        <x:v>-6887.635690689094</x:v>
      </x:c>
      <x:c r="V38" s="27" t="n">
        <x:v>0</x:v>
      </x:c>
    </x:row>
    <x:row r="39">
      <x:c r="A39" s="28" t="str">
        <x:v>199093</x:v>
      </x:c>
      <x:c r="B39" s="25" t="n">
        <x:v>24</x:v>
      </x:c>
      <x:c r="C39" s="25" t="n">
        <x:v>17188</x:v>
      </x:c>
      <x:c r="D39" s="25" t="n">
        <x:f>IF(B39=0,0,C39/B39)</x:f>
        <x:v>716.1666666666666</x:v>
      </x:c>
      <x:c r="E39" s="26" t="n">
        <x:f>IF(D39=0,0,D39/MAX($D$6:$D$337))</x:f>
        <x:v>0.5123841646225129</x:v>
      </x:c>
      <x:c r="F39" s="26" t="n">
        <x:f>IF(B39=0,0,B39/MAX($B$6:$B$337))</x:f>
        <x:v>0.8571428571428571</x:v>
      </x:c>
      <x:c r="G39" s="26" t="n">
        <x:f>'Resumen'!$B$9*E39+'Resumen'!$B$10*F39</x:f>
        <x:v>0.6158117723786161</x:v>
      </x:c>
      <x:c r="H39" s="8" t="n">
        <x:v>130803.26000000002</x:v>
      </x:c>
      <x:c r="I39" s="8" t="n">
        <x:v>172061.19</x:v>
      </x:c>
      <x:c r="J39" s="8" t="n">
        <x:f>MAX(H39-I39,0)</x:f>
        <x:v>0</x:v>
      </x:c>
      <x:c r="K39" s="8" t="n">
        <x:f>J39*G39</x:f>
        <x:v>0</x:v>
      </x:c>
      <x:c r="L39" s="8" t="n">
        <x:f>IFERROR('Resumen'!$B$14*K39/SUM($K$6:$K$337),0)</x:f>
        <x:v>0</x:v>
      </x:c>
      <x:c r="M39" s="8" t="n">
        <x:f>I39+L39</x:f>
        <x:v>172061.19</x:v>
      </x:c>
      <x:c r="N39" s="8" t="n">
        <x:v>0</x:v>
      </x:c>
      <x:c r="O39" s="8" t="n">
        <x:f>N39*'Resumen'!$B$8</x:f>
        <x:v>0</x:v>
      </x:c>
      <x:c r="P39" s="8" t="n">
        <x:f>M39+O39</x:f>
        <x:v>172061.19</x:v>
      </x:c>
      <x:c r="Q39" s="8" t="n">
        <x:f>P39-H39</x:f>
        <x:v>41257.92999999998</x:v>
      </x:c>
      <x:c r="R39" s="8" t="n">
        <x:v>0</x:v>
      </x:c>
      <x:c r="S39" s="8" t="n">
        <x:f>R39*'Resumen'!$B$8</x:f>
        <x:v>0</x:v>
      </x:c>
      <x:c r="T39" s="8" t="n">
        <x:f>M39+S39</x:f>
        <x:v>172061.19</x:v>
      </x:c>
      <x:c r="U39" s="8" t="n">
        <x:f>T39-H39</x:f>
        <x:v>41257.92999999998</x:v>
      </x:c>
      <x:c r="V39" s="27" t="n">
        <x:v>0</x:v>
      </x:c>
    </x:row>
    <x:row r="40">
      <x:c r="A40" s="28" t="str">
        <x:v>199094</x:v>
      </x:c>
      <x:c r="B40" s="25" t="n">
        <x:v>19</x:v>
      </x:c>
      <x:c r="C40" s="25" t="n">
        <x:v>10362</x:v>
      </x:c>
      <x:c r="D40" s="25" t="n">
        <x:f>IF(B40=0,0,C40/B40)</x:f>
        <x:v>545.3684210526316</x:v>
      </x:c>
      <x:c r="E40" s="26" t="n">
        <x:f>IF(D40=0,0,D40/MAX($D$6:$D$337))</x:f>
        <x:v>0.3901859104015148</x:v>
      </x:c>
      <x:c r="F40" s="26" t="n">
        <x:f>IF(B40=0,0,B40/MAX($B$6:$B$337))</x:f>
        <x:v>0.6785714285714286</x:v>
      </x:c>
      <x:c r="G40" s="26" t="n">
        <x:f>'Resumen'!$B$9*E40+'Resumen'!$B$10*F40</x:f>
        <x:v>0.4767015658524889</x:v>
      </x:c>
      <x:c r="H40" s="8" t="n">
        <x:v>78388.27000000002</x:v>
      </x:c>
      <x:c r="I40" s="8" t="n">
        <x:v>65192.20000000001</x:v>
      </x:c>
      <x:c r="J40" s="8" t="n">
        <x:f>MAX(H40-I40,0)</x:f>
        <x:v>13196.070000000007</x:v>
      </x:c>
      <x:c r="K40" s="8" t="n">
        <x:f>J40*G40</x:f>
        <x:v>6290.587232099057</x:v>
      </x:c>
      <x:c r="L40" s="8" t="n">
        <x:f>IFERROR('Resumen'!$B$14*K40/SUM($K$6:$K$337),0)</x:f>
        <x:v>4556.45182638125</x:v>
      </x:c>
      <x:c r="M40" s="8" t="n">
        <x:f>I40+L40</x:f>
        <x:v>69748.65182638126</x:v>
      </x:c>
      <x:c r="N40" s="8" t="n">
        <x:v>0</x:v>
      </x:c>
      <x:c r="O40" s="8" t="n">
        <x:f>N40*'Resumen'!$B$8</x:f>
        <x:v>0</x:v>
      </x:c>
      <x:c r="P40" s="8" t="n">
        <x:f>M40+O40</x:f>
        <x:v>69748.65182638126</x:v>
      </x:c>
      <x:c r="Q40" s="8" t="n">
        <x:f>P40-H40</x:f>
        <x:v>-8639.618173618757</x:v>
      </x:c>
      <x:c r="R40" s="8" t="n">
        <x:v>0</x:v>
      </x:c>
      <x:c r="S40" s="8" t="n">
        <x:f>R40*'Resumen'!$B$8</x:f>
        <x:v>0</x:v>
      </x:c>
      <x:c r="T40" s="8" t="n">
        <x:f>M40+S40</x:f>
        <x:v>69748.65182638126</x:v>
      </x:c>
      <x:c r="U40" s="8" t="n">
        <x:f>T40-H40</x:f>
        <x:v>-8639.618173618757</x:v>
      </x:c>
      <x:c r="V40" s="27" t="n">
        <x:v>0</x:v>
      </x:c>
    </x:row>
    <x:row r="41">
      <x:c r="A41" s="28" t="str">
        <x:v>199095</x:v>
      </x:c>
      <x:c r="B41" s="25" t="n">
        <x:v>15</x:v>
      </x:c>
      <x:c r="C41" s="25" t="n">
        <x:v>10609</x:v>
      </x:c>
      <x:c r="D41" s="25" t="n">
        <x:f>IF(B41=0,0,C41/B41)</x:f>
        <x:v>707.2666666666667</x:v>
      </x:c>
      <x:c r="E41" s="26" t="n">
        <x:f>IF(D41=0,0,D41/MAX($D$6:$D$337))</x:f>
        <x:v>0.5060166257835922</x:v>
      </x:c>
      <x:c r="F41" s="26" t="n">
        <x:f>IF(B41=0,0,B41/MAX($B$6:$B$337))</x:f>
        <x:v>0.5357142857142857</x:v>
      </x:c>
      <x:c r="G41" s="26" t="n">
        <x:f>'Resumen'!$B$9*E41+'Resumen'!$B$10*F41</x:f>
        <x:v>0.5149259237628002</x:v>
      </x:c>
      <x:c r="H41" s="8" t="n">
        <x:v>245819.13999999998</x:v>
      </x:c>
      <x:c r="I41" s="8" t="n">
        <x:v>83975.62000000001</x:v>
      </x:c>
      <x:c r="J41" s="8" t="n">
        <x:f>MAX(H41-I41,0)</x:f>
        <x:v>161843.51999999996</x:v>
      </x:c>
      <x:c r="K41" s="8" t="n">
        <x:f>J41*G41</x:f>
        <x:v>83337.42404102322</x:v>
      </x:c>
      <x:c r="L41" s="8" t="n">
        <x:f>IFERROR('Resumen'!$B$14*K41/SUM($K$6:$K$337),0)</x:f>
        <x:v>60363.674163838295</x:v>
      </x:c>
      <x:c r="M41" s="8" t="n">
        <x:f>I41+L41</x:f>
        <x:v>144339.29416383832</x:v>
      </x:c>
      <x:c r="N41" s="8" t="n">
        <x:v>0</x:v>
      </x:c>
      <x:c r="O41" s="8" t="n">
        <x:f>N41*'Resumen'!$B$8</x:f>
        <x:v>0</x:v>
      </x:c>
      <x:c r="P41" s="8" t="n">
        <x:f>M41+O41</x:f>
        <x:v>144339.29416383832</x:v>
      </x:c>
      <x:c r="Q41" s="8" t="n">
        <x:f>P41-H41</x:f>
        <x:v>-101479.84583616166</x:v>
      </x:c>
      <x:c r="R41" s="8" t="n">
        <x:v>0</x:v>
      </x:c>
      <x:c r="S41" s="8" t="n">
        <x:f>R41*'Resumen'!$B$8</x:f>
        <x:v>0</x:v>
      </x:c>
      <x:c r="T41" s="8" t="n">
        <x:f>M41+S41</x:f>
        <x:v>144339.29416383832</x:v>
      </x:c>
      <x:c r="U41" s="8" t="n">
        <x:f>T41-H41</x:f>
        <x:v>-101479.84583616166</x:v>
      </x:c>
      <x:c r="V41" s="27" t="n">
        <x:v>0</x:v>
      </x:c>
    </x:row>
    <x:row r="42">
      <x:c r="A42" s="28" t="str">
        <x:v>199408</x:v>
      </x:c>
      <x:c r="B42" s="25" t="n">
        <x:v>26</x:v>
      </x:c>
      <x:c r="C42" s="25" t="n">
        <x:v>24744</x:v>
      </x:c>
      <x:c r="D42" s="25" t="n">
        <x:f>IF(B42=0,0,C42/B42)</x:f>
        <x:v>951.6923076923077</x:v>
      </x:c>
      <x:c r="E42" s="26" t="n">
        <x:f>IF(D42=0,0,D42/MAX($D$6:$D$337))</x:f>
        <x:v>0.6808918799924524</x:v>
      </x:c>
      <x:c r="F42" s="26" t="n">
        <x:f>IF(B42=0,0,B42/MAX($B$6:$B$337))</x:f>
        <x:v>0.9285714285714286</x:v>
      </x:c>
      <x:c r="G42" s="26" t="n">
        <x:f>'Resumen'!$B$9*E42+'Resumen'!$B$10*F42</x:f>
        <x:v>0.7551957445661452</x:v>
      </x:c>
      <x:c r="H42" s="8" t="n">
        <x:v>307729.79000000004</x:v>
      </x:c>
      <x:c r="I42" s="8" t="n">
        <x:v>266100.89</x:v>
      </x:c>
      <x:c r="J42" s="8" t="n">
        <x:f>MAX(H42-I42,0)</x:f>
        <x:v>41628.90000000002</x:v>
      </x:c>
      <x:c r="K42" s="8" t="n">
        <x:f>J42*G42</x:f>
        <x:v>31437.96813096962</x:v>
      </x:c>
      <x:c r="L42" s="8" t="n">
        <x:f>IFERROR('Resumen'!$B$14*K42/SUM($K$6:$K$337),0)</x:f>
        <x:v>22771.417361026495</x:v>
      </x:c>
      <x:c r="M42" s="8" t="n">
        <x:f>I42+L42</x:f>
        <x:v>288872.3073610265</x:v>
      </x:c>
      <x:c r="N42" s="8" t="n">
        <x:v>0</x:v>
      </x:c>
      <x:c r="O42" s="8" t="n">
        <x:f>N42*'Resumen'!$B$8</x:f>
        <x:v>0</x:v>
      </x:c>
      <x:c r="P42" s="8" t="n">
        <x:f>M42+O42</x:f>
        <x:v>288872.3073610265</x:v>
      </x:c>
      <x:c r="Q42" s="8" t="n">
        <x:f>P42-H42</x:f>
        <x:v>-18857.48263897351</x:v>
      </x:c>
      <x:c r="R42" s="8" t="n">
        <x:v>0</x:v>
      </x:c>
      <x:c r="S42" s="8" t="n">
        <x:f>R42*'Resumen'!$B$8</x:f>
        <x:v>0</x:v>
      </x:c>
      <x:c r="T42" s="8" t="n">
        <x:f>M42+S42</x:f>
        <x:v>288872.3073610265</x:v>
      </x:c>
      <x:c r="U42" s="8" t="n">
        <x:f>T42-H42</x:f>
        <x:v>-18857.48263897351</x:v>
      </x:c>
      <x:c r="V42" s="27" t="n">
        <x:v>0</x:v>
      </x:c>
    </x:row>
    <x:row r="43">
      <x:c r="A43" s="28" t="str">
        <x:v>203576</x:v>
      </x:c>
      <x:c r="B43" s="25" t="n">
        <x:v>19</x:v>
      </x:c>
      <x:c r="C43" s="25" t="n">
        <x:v>14250</x:v>
      </x:c>
      <x:c r="D43" s="25" t="n">
        <x:f>IF(B43=0,0,C43/B43)</x:f>
        <x:v>750</x:v>
      </x:c>
      <x:c r="E43" s="26" t="n">
        <x:f>IF(D43=0,0,D43/MAX($D$6:$D$337))</x:f>
        <x:v>0.5365903515944399</x:v>
      </x:c>
      <x:c r="F43" s="26" t="n">
        <x:f>IF(B43=0,0,B43/MAX($B$6:$B$337))</x:f>
        <x:v>0.6785714285714286</x:v>
      </x:c>
      <x:c r="G43" s="26" t="n">
        <x:f>'Resumen'!$B$9*E43+'Resumen'!$B$10*F43</x:f>
        <x:v>0.5791846746875364</x:v>
      </x:c>
      <x:c r="H43" s="8" t="n">
        <x:v>120764.97</x:v>
      </x:c>
      <x:c r="I43" s="8" t="n">
        <x:v>107380.27</x:v>
      </x:c>
      <x:c r="J43" s="8" t="n">
        <x:f>MAX(H43-I43,0)</x:f>
        <x:v>13384.699999999997</x:v>
      </x:c>
      <x:c r="K43" s="8" t="n">
        <x:f>J43*G43</x:f>
        <x:v>7752.2131152902675</x:v>
      </x:c>
      <x:c r="L43" s="8" t="n">
        <x:f>IFERROR('Resumen'!$B$14*K43/SUM($K$6:$K$337),0)</x:f>
        <x:v>5615.149159274038</x:v>
      </x:c>
      <x:c r="M43" s="8" t="n">
        <x:f>I43+L43</x:f>
        <x:v>112995.41915927404</x:v>
      </x:c>
      <x:c r="N43" s="8" t="n">
        <x:v>0</x:v>
      </x:c>
      <x:c r="O43" s="8" t="n">
        <x:f>N43*'Resumen'!$B$8</x:f>
        <x:v>0</x:v>
      </x:c>
      <x:c r="P43" s="8" t="n">
        <x:f>M43+O43</x:f>
        <x:v>112995.41915927404</x:v>
      </x:c>
      <x:c r="Q43" s="8" t="n">
        <x:f>P43-H43</x:f>
        <x:v>-7769.550840725962</x:v>
      </x:c>
      <x:c r="R43" s="8" t="n">
        <x:v>0</x:v>
      </x:c>
      <x:c r="S43" s="8" t="n">
        <x:f>R43*'Resumen'!$B$8</x:f>
        <x:v>0</x:v>
      </x:c>
      <x:c r="T43" s="8" t="n">
        <x:f>M43+S43</x:f>
        <x:v>112995.41915927404</x:v>
      </x:c>
      <x:c r="U43" s="8" t="n">
        <x:f>T43-H43</x:f>
        <x:v>-7769.550840725962</x:v>
      </x:c>
      <x:c r="V43" s="27" t="n">
        <x:v>0</x:v>
      </x:c>
    </x:row>
    <x:row r="44">
      <x:c r="A44" s="28" t="str">
        <x:v>203619</x:v>
      </x:c>
      <x:c r="B44" s="25" t="n">
        <x:v>22</x:v>
      </x:c>
      <x:c r="C44" s="25" t="n">
        <x:v>16064</x:v>
      </x:c>
      <x:c r="D44" s="25" t="n">
        <x:f>IF(B44=0,0,C44/B44)</x:f>
        <x:v>730.1818181818181</x:v>
      </x:c>
      <x:c r="E44" s="26" t="n">
        <x:f>IF(D44=0,0,D44/MAX($D$6:$D$337))</x:f>
        <x:v>0.5224113580613989</x:v>
      </x:c>
      <x:c r="F44" s="26" t="n">
        <x:f>IF(B44=0,0,B44/MAX($B$6:$B$337))</x:f>
        <x:v>0.7857142857142857</x:v>
      </x:c>
      <x:c r="G44" s="26" t="n">
        <x:f>'Resumen'!$B$9*E44+'Resumen'!$B$10*F44</x:f>
        <x:v>0.6014022363572649</x:v>
      </x:c>
      <x:c r="H44" s="8" t="n">
        <x:v>191031.69</x:v>
      </x:c>
      <x:c r="I44" s="8" t="n">
        <x:v>125283.84000000001</x:v>
      </x:c>
      <x:c r="J44" s="8" t="n">
        <x:f>MAX(H44-I44,0)</x:f>
        <x:v>65747.84999999999</x:v>
      </x:c>
      <x:c r="K44" s="8" t="n">
        <x:f>J44*G44</x:f>
        <x:v>39540.90402568199</x:v>
      </x:c>
      <x:c r="L44" s="8" t="n">
        <x:f>IFERROR('Resumen'!$B$14*K44/SUM($K$6:$K$337),0)</x:f>
        <x:v>28640.60503687923</x:v>
      </x:c>
      <x:c r="M44" s="8" t="n">
        <x:f>I44+L44</x:f>
        <x:v>153924.44503687925</x:v>
      </x:c>
      <x:c r="N44" s="8" t="n">
        <x:v>0</x:v>
      </x:c>
      <x:c r="O44" s="8" t="n">
        <x:f>N44*'Resumen'!$B$8</x:f>
        <x:v>0</x:v>
      </x:c>
      <x:c r="P44" s="8" t="n">
        <x:f>M44+O44</x:f>
        <x:v>153924.44503687925</x:v>
      </x:c>
      <x:c r="Q44" s="8" t="n">
        <x:f>P44-H44</x:f>
        <x:v>-37107.24496312076</x:v>
      </x:c>
      <x:c r="R44" s="8" t="n">
        <x:v>0</x:v>
      </x:c>
      <x:c r="S44" s="8" t="n">
        <x:f>R44*'Resumen'!$B$8</x:f>
        <x:v>0</x:v>
      </x:c>
      <x:c r="T44" s="8" t="n">
        <x:f>M44+S44</x:f>
        <x:v>153924.44503687925</x:v>
      </x:c>
      <x:c r="U44" s="8" t="n">
        <x:f>T44-H44</x:f>
        <x:v>-37107.24496312076</x:v>
      </x:c>
      <x:c r="V44" s="27" t="n">
        <x:v>0</x:v>
      </x:c>
    </x:row>
    <x:row r="45">
      <x:c r="A45" s="28" t="str">
        <x:v>203637</x:v>
      </x:c>
      <x:c r="B45" s="25" t="n">
        <x:v>28</x:v>
      </x:c>
      <x:c r="C45" s="25" t="n">
        <x:v>39136</x:v>
      </x:c>
      <x:c r="D45" s="25" t="n">
        <x:f>IF(B45=0,0,C45/B45)</x:f>
        <x:v>1397.7142857142858</x:v>
      </x:c>
      <x:c r="E45" s="26" t="n">
        <x:f>IF(D45=0,0,D45/MAX($D$6:$D$337))</x:f>
        <x:v>1</x:v>
      </x:c>
      <x:c r="F45" s="26" t="n">
        <x:f>IF(B45=0,0,B45/MAX($B$6:$B$337))</x:f>
        <x:v>1</x:v>
      </x:c>
      <x:c r="G45" s="26" t="n">
        <x:f>'Resumen'!$B$9*E45+'Resumen'!$B$10*F45</x:f>
        <x:v>1</x:v>
      </x:c>
      <x:c r="H45" s="8" t="n">
        <x:v>913667.9400000001</x:v>
      </x:c>
      <x:c r="I45" s="8" t="n">
        <x:v>465140.3899999999</x:v>
      </x:c>
      <x:c r="J45" s="8" t="n">
        <x:f>MAX(H45-I45,0)</x:f>
        <x:v>448527.55000000016</x:v>
      </x:c>
      <x:c r="K45" s="8" t="n">
        <x:f>J45*G45</x:f>
        <x:v>448527.55000000016</x:v>
      </x:c>
      <x:c r="L45" s="8" t="n">
        <x:f>IFERROR('Resumen'!$B$14*K45/SUM($K$6:$K$337),0)</x:f>
        <x:v>324881.30264713994</x:v>
      </x:c>
      <x:c r="M45" s="8" t="n">
        <x:f>I45+L45</x:f>
        <x:v>790021.6926471398</x:v>
      </x:c>
      <x:c r="N45" s="8" t="n">
        <x:v>826859.15</x:v>
      </x:c>
      <x:c r="O45" s="8" t="n">
        <x:f>N45*'Resumen'!$B$8</x:f>
        <x:v>248057.745</x:v>
      </x:c>
      <x:c r="P45" s="8" t="n">
        <x:f>M45+O45</x:f>
        <x:v>1038079.4376471398</x:v>
      </x:c>
      <x:c r="Q45" s="8" t="n">
        <x:f>P45-H45</x:f>
        <x:v>124411.49764713971</x:v>
      </x:c>
      <x:c r="R45" s="8" t="n">
        <x:v>720701.8200000001</x:v>
      </x:c>
      <x:c r="S45" s="8" t="n">
        <x:f>R45*'Resumen'!$B$8</x:f>
        <x:v>216210.546</x:v>
      </x:c>
      <x:c r="T45" s="8" t="n">
        <x:f>M45+S45</x:f>
        <x:v>1006232.2386471397</x:v>
      </x:c>
      <x:c r="U45" s="8" t="n">
        <x:f>T45-H45</x:f>
        <x:v>92564.29864713969</x:v>
      </x:c>
      <x:c r="V45" s="27" t="n">
        <x:v>19</x:v>
      </x:c>
    </x:row>
    <x:row r="46">
      <x:c r="A46" s="28" t="str">
        <x:v>203679</x:v>
      </x:c>
      <x:c r="B46" s="25" t="n">
        <x:v>28</x:v>
      </x:c>
      <x:c r="C46" s="25" t="n">
        <x:v>35004</x:v>
      </x:c>
      <x:c r="D46" s="25" t="n">
        <x:f>IF(B46=0,0,C46/B46)</x:f>
        <x:v>1250.142857142857</x:v>
      </x:c>
      <x:c r="E46" s="26" t="n">
        <x:f>IF(D46=0,0,D46/MAX($D$6:$D$337))</x:f>
        <x:v>0.8944194603434178</x:v>
      </x:c>
      <x:c r="F46" s="26" t="n">
        <x:f>IF(B46=0,0,B46/MAX($B$6:$B$337))</x:f>
        <x:v>1</x:v>
      </x:c>
      <x:c r="G46" s="26" t="n">
        <x:f>'Resumen'!$B$9*E46+'Resumen'!$B$10*F46</x:f>
        <x:v>0.9260936222403924</x:v>
      </x:c>
      <x:c r="H46" s="8" t="n">
        <x:v>702397.0800000001</x:v>
      </x:c>
      <x:c r="I46" s="8" t="n">
        <x:v>434441.8</x:v>
      </x:c>
      <x:c r="J46" s="8" t="n">
        <x:f>MAX(H46-I46,0)</x:f>
        <x:v>267955.2800000001</x:v>
      </x:c>
      <x:c r="K46" s="8" t="n">
        <x:f>J46*G46</x:f>
        <x:v>248151.67585363865</x:v>
      </x:c>
      <x:c r="L46" s="8" t="n">
        <x:f>IFERROR('Resumen'!$B$14*K46/SUM($K$6:$K$337),0)</x:f>
        <x:v>179743.3395237392</x:v>
      </x:c>
      <x:c r="M46" s="8" t="n">
        <x:f>I46+L46</x:f>
        <x:v>614185.1395237392</x:v>
      </x:c>
      <x:c r="N46" s="8" t="n">
        <x:v>0</x:v>
      </x:c>
      <x:c r="O46" s="8" t="n">
        <x:f>N46*'Resumen'!$B$8</x:f>
        <x:v>0</x:v>
      </x:c>
      <x:c r="P46" s="8" t="n">
        <x:f>M46+O46</x:f>
        <x:v>614185.1395237392</x:v>
      </x:c>
      <x:c r="Q46" s="8" t="n">
        <x:f>P46-H46</x:f>
        <x:v>-88211.94047626085</x:v>
      </x:c>
      <x:c r="R46" s="8" t="n">
        <x:v>0</x:v>
      </x:c>
      <x:c r="S46" s="8" t="n">
        <x:f>R46*'Resumen'!$B$8</x:f>
        <x:v>0</x:v>
      </x:c>
      <x:c r="T46" s="8" t="n">
        <x:f>M46+S46</x:f>
        <x:v>614185.1395237392</x:v>
      </x:c>
      <x:c r="U46" s="8" t="n">
        <x:f>T46-H46</x:f>
        <x:v>-88211.94047626085</x:v>
      </x:c>
      <x:c r="V46" s="27" t="n">
        <x:v>0</x:v>
      </x:c>
    </x:row>
    <x:row r="47">
      <x:c r="A47" s="28" t="str">
        <x:v>203690</x:v>
      </x:c>
      <x:c r="B47" s="25" t="n">
        <x:v>24</x:v>
      </x:c>
      <x:c r="C47" s="25" t="n">
        <x:v>18858</x:v>
      </x:c>
      <x:c r="D47" s="25" t="n">
        <x:f>IF(B47=0,0,C47/B47)</x:f>
        <x:v>785.75</x:v>
      </x:c>
      <x:c r="E47" s="26" t="n">
        <x:f>IF(D47=0,0,D47/MAX($D$6:$D$337))</x:f>
        <x:v>0.5621678250204415</x:v>
      </x:c>
      <x:c r="F47" s="26" t="n">
        <x:f>IF(B47=0,0,B47/MAX($B$6:$B$337))</x:f>
        <x:v>0.8571428571428571</x:v>
      </x:c>
      <x:c r="G47" s="26" t="n">
        <x:f>'Resumen'!$B$9*E47+'Resumen'!$B$10*F47</x:f>
        <x:v>0.6506603346571662</x:v>
      </x:c>
      <x:c r="H47" s="8" t="n">
        <x:v>178391.54</x:v>
      </x:c>
      <x:c r="I47" s="8" t="n">
        <x:v>159499.71999999997</x:v>
      </x:c>
      <x:c r="J47" s="8" t="n">
        <x:f>MAX(H47-I47,0)</x:f>
        <x:v>18891.820000000036</x:v>
      </x:c>
      <x:c r="K47" s="8" t="n">
        <x:f>J47*G47</x:f>
        <x:v>12292.15792348297</x:v>
      </x:c>
      <x:c r="L47" s="8" t="n">
        <x:f>IFERROR('Resumen'!$B$14*K47/SUM($K$6:$K$337),0)</x:f>
        <x:v>8903.5607255909</x:v>
      </x:c>
      <x:c r="M47" s="8" t="n">
        <x:f>I47+L47</x:f>
        <x:v>168403.28072559088</x:v>
      </x:c>
      <x:c r="N47" s="8" t="n">
        <x:v>0</x:v>
      </x:c>
      <x:c r="O47" s="8" t="n">
        <x:f>N47*'Resumen'!$B$8</x:f>
        <x:v>0</x:v>
      </x:c>
      <x:c r="P47" s="8" t="n">
        <x:f>M47+O47</x:f>
        <x:v>168403.28072559088</x:v>
      </x:c>
      <x:c r="Q47" s="8" t="n">
        <x:f>P47-H47</x:f>
        <x:v>-9988.259274409123</x:v>
      </x:c>
      <x:c r="R47" s="8" t="n">
        <x:v>0</x:v>
      </x:c>
      <x:c r="S47" s="8" t="n">
        <x:f>R47*'Resumen'!$B$8</x:f>
        <x:v>0</x:v>
      </x:c>
      <x:c r="T47" s="8" t="n">
        <x:f>M47+S47</x:f>
        <x:v>168403.28072559088</x:v>
      </x:c>
      <x:c r="U47" s="8" t="n">
        <x:f>T47-H47</x:f>
        <x:v>-9988.259274409123</x:v>
      </x:c>
      <x:c r="V47" s="27" t="n">
        <x:v>0</x:v>
      </x:c>
    </x:row>
    <x:row r="48">
      <x:c r="A48" s="28" t="str">
        <x:v>206099</x:v>
      </x:c>
      <x:c r="B48" s="25" t="n">
        <x:v>19</x:v>
      </x:c>
      <x:c r="C48" s="25" t="n">
        <x:v>15724</x:v>
      </x:c>
      <x:c r="D48" s="25" t="n">
        <x:f>IF(B48=0,0,C48/B48)</x:f>
        <x:v>827.578947368421</x:v>
      </x:c>
      <x:c r="E48" s="26" t="n">
        <x:f>IF(D48=0,0,D48/MAX($D$6:$D$337))</x:f>
        <x:v>0.5920945044541034</x:v>
      </x:c>
      <x:c r="F48" s="26" t="n">
        <x:f>IF(B48=0,0,B48/MAX($B$6:$B$337))</x:f>
        <x:v>0.6785714285714286</x:v>
      </x:c>
      <x:c r="G48" s="26" t="n">
        <x:f>'Resumen'!$B$9*E48+'Resumen'!$B$10*F48</x:f>
        <x:v>0.6180375816893009</x:v>
      </x:c>
      <x:c r="H48" s="8" t="n">
        <x:v>205652.67000000004</x:v>
      </x:c>
      <x:c r="I48" s="8" t="n">
        <x:v>183282.67</x:v>
      </x:c>
      <x:c r="J48" s="8" t="n">
        <x:f>MAX(H48-I48,0)</x:f>
        <x:v>22370.00000000003</x:v>
      </x:c>
      <x:c r="K48" s="8" t="n">
        <x:f>J48*G48</x:f>
        <x:v>13825.50070238968</x:v>
      </x:c>
      <x:c r="L48" s="8" t="n">
        <x:f>IFERROR('Resumen'!$B$14*K48/SUM($K$6:$K$337),0)</x:f>
        <x:v>10014.204652403861</x:v>
      </x:c>
      <x:c r="M48" s="8" t="n">
        <x:f>I48+L48</x:f>
        <x:v>193296.87465240387</x:v>
      </x:c>
      <x:c r="N48" s="8" t="n">
        <x:v>0</x:v>
      </x:c>
      <x:c r="O48" s="8" t="n">
        <x:f>N48*'Resumen'!$B$8</x:f>
        <x:v>0</x:v>
      </x:c>
      <x:c r="P48" s="8" t="n">
        <x:f>M48+O48</x:f>
        <x:v>193296.87465240387</x:v>
      </x:c>
      <x:c r="Q48" s="8" t="n">
        <x:f>P48-H48</x:f>
        <x:v>-12355.79534759617</x:v>
      </x:c>
      <x:c r="R48" s="8" t="n">
        <x:v>0</x:v>
      </x:c>
      <x:c r="S48" s="8" t="n">
        <x:f>R48*'Resumen'!$B$8</x:f>
        <x:v>0</x:v>
      </x:c>
      <x:c r="T48" s="8" t="n">
        <x:f>M48+S48</x:f>
        <x:v>193296.87465240387</x:v>
      </x:c>
      <x:c r="U48" s="8" t="n">
        <x:f>T48-H48</x:f>
        <x:v>-12355.79534759617</x:v>
      </x:c>
      <x:c r="V48" s="27" t="n">
        <x:v>0</x:v>
      </x:c>
    </x:row>
    <x:row r="49">
      <x:c r="A49" s="28" t="str">
        <x:v>206101</x:v>
      </x:c>
      <x:c r="B49" s="25" t="n">
        <x:v>24</x:v>
      </x:c>
      <x:c r="C49" s="25" t="n">
        <x:v>18969</x:v>
      </x:c>
      <x:c r="D49" s="25" t="n">
        <x:f>IF(B49=0,0,C49/B49)</x:f>
        <x:v>790.375</x:v>
      </x:c>
      <x:c r="E49" s="26" t="n">
        <x:f>IF(D49=0,0,D49/MAX($D$6:$D$337))</x:f>
        <x:v>0.5654767988552739</x:v>
      </x:c>
      <x:c r="F49" s="26" t="n">
        <x:f>IF(B49=0,0,B49/MAX($B$6:$B$337))</x:f>
        <x:v>0.8571428571428571</x:v>
      </x:c>
      <x:c r="G49" s="26" t="n">
        <x:f>'Resumen'!$B$9*E49+'Resumen'!$B$10*F49</x:f>
        <x:v>0.6529766163415489</x:v>
      </x:c>
      <x:c r="H49" s="8" t="n">
        <x:v>400655.78</x:v>
      </x:c>
      <x:c r="I49" s="8" t="n">
        <x:v>108720.33</x:v>
      </x:c>
      <x:c r="J49" s="8" t="n">
        <x:f>MAX(H49-I49,0)</x:f>
        <x:v>291935.45</x:v>
      </x:c>
      <x:c r="K49" s="8" t="n">
        <x:f>J49*G49</x:f>
        <x:v>190627.02233114745</x:v>
      </x:c>
      <x:c r="L49" s="8" t="n">
        <x:f>IFERROR('Resumen'!$B$14*K49/SUM($K$6:$K$337),0)</x:f>
        <x:v>138076.5915821416</x:v>
      </x:c>
      <x:c r="M49" s="8" t="n">
        <x:f>I49+L49</x:f>
        <x:v>246796.9215821416</x:v>
      </x:c>
      <x:c r="N49" s="8" t="n">
        <x:v>0</x:v>
      </x:c>
      <x:c r="O49" s="8" t="n">
        <x:f>N49*'Resumen'!$B$8</x:f>
        <x:v>0</x:v>
      </x:c>
      <x:c r="P49" s="8" t="n">
        <x:f>M49+O49</x:f>
        <x:v>246796.9215821416</x:v>
      </x:c>
      <x:c r="Q49" s="8" t="n">
        <x:f>P49-H49</x:f>
        <x:v>-153858.85841785843</x:v>
      </x:c>
      <x:c r="R49" s="8" t="n">
        <x:v>0</x:v>
      </x:c>
      <x:c r="S49" s="8" t="n">
        <x:f>R49*'Resumen'!$B$8</x:f>
        <x:v>0</x:v>
      </x:c>
      <x:c r="T49" s="8" t="n">
        <x:f>M49+S49</x:f>
        <x:v>246796.9215821416</x:v>
      </x:c>
      <x:c r="U49" s="8" t="n">
        <x:f>T49-H49</x:f>
        <x:v>-153858.85841785843</x:v>
      </x:c>
      <x:c r="V49" s="27" t="n">
        <x:v>0</x:v>
      </x:c>
    </x:row>
    <x:row r="50">
      <x:c r="A50" s="28" t="str">
        <x:v>206105</x:v>
      </x:c>
      <x:c r="B50" s="25" t="n">
        <x:v>26</x:v>
      </x:c>
      <x:c r="C50" s="25" t="n">
        <x:v>27622</x:v>
      </x:c>
      <x:c r="D50" s="25" t="n">
        <x:f>IF(B50=0,0,C50/B50)</x:f>
        <x:v>1062.3846153846155</x:v>
      </x:c>
      <x:c r="E50" s="26" t="n">
        <x:f>IF(D50=0,0,D50/MAX($D$6:$D$337))</x:f>
        <x:v>0.7600871123970061</x:v>
      </x:c>
      <x:c r="F50" s="26" t="n">
        <x:f>IF(B50=0,0,B50/MAX($B$6:$B$337))</x:f>
        <x:v>0.9285714285714286</x:v>
      </x:c>
      <x:c r="G50" s="26" t="n">
        <x:f>'Resumen'!$B$9*E50+'Resumen'!$B$10*F50</x:f>
        <x:v>0.8106324072493328</x:v>
      </x:c>
      <x:c r="H50" s="8" t="n">
        <x:v>409464.29</x:v>
      </x:c>
      <x:c r="I50" s="8" t="n">
        <x:v>286060.23000000004</x:v>
      </x:c>
      <x:c r="J50" s="8" t="n">
        <x:f>MAX(H50-I50,0)</x:f>
        <x:v>123404.05999999994</x:v>
      </x:c>
      <x:c r="K50" s="8" t="n">
        <x:f>J50*G50</x:f>
        <x:v>100035.33022214106</x:v>
      </x:c>
      <x:c r="L50" s="8" t="n">
        <x:f>IFERROR('Resumen'!$B$14*K50/SUM($K$6:$K$337),0)</x:f>
        <x:v>72458.44406504346</x:v>
      </x:c>
      <x:c r="M50" s="8" t="n">
        <x:f>I50+L50</x:f>
        <x:v>358518.6740650435</x:v>
      </x:c>
      <x:c r="N50" s="8" t="n">
        <x:v>0</x:v>
      </x:c>
      <x:c r="O50" s="8" t="n">
        <x:f>N50*'Resumen'!$B$8</x:f>
        <x:v>0</x:v>
      </x:c>
      <x:c r="P50" s="8" t="n">
        <x:f>M50+O50</x:f>
        <x:v>358518.6740650435</x:v>
      </x:c>
      <x:c r="Q50" s="8" t="n">
        <x:f>P50-H50</x:f>
        <x:v>-50945.61593495647</x:v>
      </x:c>
      <x:c r="R50" s="8" t="n">
        <x:v>0</x:v>
      </x:c>
      <x:c r="S50" s="8" t="n">
        <x:f>R50*'Resumen'!$B$8</x:f>
        <x:v>0</x:v>
      </x:c>
      <x:c r="T50" s="8" t="n">
        <x:f>M50+S50</x:f>
        <x:v>358518.6740650435</x:v>
      </x:c>
      <x:c r="U50" s="8" t="n">
        <x:f>T50-H50</x:f>
        <x:v>-50945.61593495647</x:v>
      </x:c>
      <x:c r="V50" s="27" t="n">
        <x:v>0</x:v>
      </x:c>
    </x:row>
    <x:row r="51">
      <x:c r="A51" s="28" t="str">
        <x:v>206122</x:v>
      </x:c>
      <x:c r="B51" s="25" t="n">
        <x:v>28</x:v>
      </x:c>
      <x:c r="C51" s="25" t="n">
        <x:v>34962</x:v>
      </x:c>
      <x:c r="D51" s="25" t="n">
        <x:f>IF(B51=0,0,C51/B51)</x:f>
        <x:v>1248.642857142857</x:v>
      </x:c>
      <x:c r="E51" s="26" t="n">
        <x:f>IF(D51=0,0,D51/MAX($D$6:$D$337))</x:f>
        <x:v>0.8933462796402288</x:v>
      </x:c>
      <x:c r="F51" s="26" t="n">
        <x:f>IF(B51=0,0,B51/MAX($B$6:$B$337))</x:f>
        <x:v>1</x:v>
      </x:c>
      <x:c r="G51" s="26" t="n">
        <x:f>'Resumen'!$B$9*E51+'Resumen'!$B$10*F51</x:f>
        <x:v>0.9253423957481601</x:v>
      </x:c>
      <x:c r="H51" s="8" t="n">
        <x:v>683891.92</x:v>
      </x:c>
      <x:c r="I51" s="8" t="n">
        <x:v>407700.64999999997</x:v>
      </x:c>
      <x:c r="J51" s="8" t="n">
        <x:f>MAX(H51-I51,0)</x:f>
        <x:v>276191.2700000001</x:v>
      </x:c>
      <x:c r="K51" s="8" t="n">
        <x:f>J51*G51</x:f>
        <x:v>255571.49146652702</x:v>
      </x:c>
      <x:c r="L51" s="8" t="n">
        <x:f>IFERROR('Resumen'!$B$14*K51/SUM($K$6:$K$337),0)</x:f>
        <x:v>185117.72368746952</x:v>
      </x:c>
      <x:c r="M51" s="8" t="n">
        <x:f>I51+L51</x:f>
        <x:v>592818.3736874695</x:v>
      </x:c>
      <x:c r="N51" s="8" t="n">
        <x:v>724314.33</x:v>
      </x:c>
      <x:c r="O51" s="8" t="n">
        <x:f>N51*'Resumen'!$B$8</x:f>
        <x:v>217294.29899999997</x:v>
      </x:c>
      <x:c r="P51" s="8" t="n">
        <x:f>M51+O51</x:f>
        <x:v>810112.6726874695</x:v>
      </x:c>
      <x:c r="Q51" s="8" t="n">
        <x:f>P51-H51</x:f>
        <x:v>126220.75268746947</x:v>
      </x:c>
      <x:c r="R51" s="8" t="n">
        <x:v>694823.29</x:v>
      </x:c>
      <x:c r="S51" s="8" t="n">
        <x:f>R51*'Resumen'!$B$8</x:f>
        <x:v>208446.987</x:v>
      </x:c>
      <x:c r="T51" s="8" t="n">
        <x:f>M51+S51</x:f>
        <x:v>801265.3606874695</x:v>
      </x:c>
      <x:c r="U51" s="8" t="n">
        <x:f>T51-H51</x:f>
        <x:v>117373.44068746944</x:v>
      </x:c>
      <x:c r="V51" s="27" t="n">
        <x:v>19</x:v>
      </x:c>
    </x:row>
    <x:row r="52">
      <x:c r="A52" s="28" t="str">
        <x:v>206130</x:v>
      </x:c>
      <x:c r="B52" s="25" t="n">
        <x:v>23</x:v>
      </x:c>
      <x:c r="C52" s="25" t="n">
        <x:v>17757</x:v>
      </x:c>
      <x:c r="D52" s="25" t="n">
        <x:f>IF(B52=0,0,C52/B52)</x:f>
        <x:v>772.0434782608696</x:v>
      </x:c>
      <x:c r="E52" s="26" t="n">
        <x:f>IF(D52=0,0,D52/MAX($D$6:$D$337))</x:f>
        <x:v>0.5523614419282591</x:v>
      </x:c>
      <x:c r="F52" s="26" t="n">
        <x:f>IF(B52=0,0,B52/MAX($B$6:$B$337))</x:f>
        <x:v>0.8214285714285714</x:v>
      </x:c>
      <x:c r="G52" s="26" t="n">
        <x:f>'Resumen'!$B$9*E52+'Resumen'!$B$10*F52</x:f>
        <x:v>0.6330815807783527</x:v>
      </x:c>
      <x:c r="H52" s="8" t="n">
        <x:v>134559.57</x:v>
      </x:c>
      <x:c r="I52" s="8" t="n">
        <x:v>127057.46999999999</x:v>
      </x:c>
      <x:c r="J52" s="8" t="n">
        <x:f>MAX(H52-I52,0)</x:f>
        <x:v>7502.10000000002</x:v>
      </x:c>
      <x:c r="K52" s="8" t="n">
        <x:f>J52*G52</x:f>
        <x:v>4749.441327157293</x:v>
      </x:c>
      <x:c r="L52" s="8" t="n">
        <x:f>IFERROR('Resumen'!$B$14*K52/SUM($K$6:$K$337),0)</x:f>
        <x:v>3440.1558727284914</x:v>
      </x:c>
      <x:c r="M52" s="8" t="n">
        <x:f>I52+L52</x:f>
        <x:v>130497.62587272847</x:v>
      </x:c>
      <x:c r="N52" s="8" t="n">
        <x:v>0</x:v>
      </x:c>
      <x:c r="O52" s="8" t="n">
        <x:f>N52*'Resumen'!$B$8</x:f>
        <x:v>0</x:v>
      </x:c>
      <x:c r="P52" s="8" t="n">
        <x:f>M52+O52</x:f>
        <x:v>130497.62587272847</x:v>
      </x:c>
      <x:c r="Q52" s="8" t="n">
        <x:f>P52-H52</x:f>
        <x:v>-4061.944127271534</x:v>
      </x:c>
      <x:c r="R52" s="8" t="n">
        <x:v>0</x:v>
      </x:c>
      <x:c r="S52" s="8" t="n">
        <x:f>R52*'Resumen'!$B$8</x:f>
        <x:v>0</x:v>
      </x:c>
      <x:c r="T52" s="8" t="n">
        <x:f>M52+S52</x:f>
        <x:v>130497.62587272847</x:v>
      </x:c>
      <x:c r="U52" s="8" t="n">
        <x:f>T52-H52</x:f>
        <x:v>-4061.944127271534</x:v>
      </x:c>
      <x:c r="V52" s="27" t="n">
        <x:v>0</x:v>
      </x:c>
    </x:row>
    <x:row r="53">
      <x:c r="A53" s="28" t="str">
        <x:v>206145</x:v>
      </x:c>
      <x:c r="B53" s="25" t="n">
        <x:v>25</x:v>
      </x:c>
      <x:c r="C53" s="25" t="n">
        <x:v>19891</x:v>
      </x:c>
      <x:c r="D53" s="25" t="n">
        <x:f>IF(B53=0,0,C53/B53)</x:f>
        <x:v>795.64</x:v>
      </x:c>
      <x:c r="E53" s="26" t="n">
        <x:f>IF(D53=0,0,D53/MAX($D$6:$D$337))</x:f>
        <x:v>0.5692436631234669</x:v>
      </x:c>
      <x:c r="F53" s="26" t="n">
        <x:f>IF(B53=0,0,B53/MAX($B$6:$B$337))</x:f>
        <x:v>0.8928571428571429</x:v>
      </x:c>
      <x:c r="G53" s="26" t="n">
        <x:f>'Resumen'!$B$9*E53+'Resumen'!$B$10*F53</x:f>
        <x:v>0.6663277070435696</x:v>
      </x:c>
      <x:c r="H53" s="8" t="n">
        <x:v>468623.64999999997</x:v>
      </x:c>
      <x:c r="I53" s="8" t="n">
        <x:v>145944.14999999997</x:v>
      </x:c>
      <x:c r="J53" s="8" t="n">
        <x:f>MAX(H53-I53,0)</x:f>
        <x:v>322679.5</x:v>
      </x:c>
      <x:c r="K53" s="8" t="n">
        <x:f>J53*G53</x:f>
        <x:v>215010.29134496552</x:v>
      </x:c>
      <x:c r="L53" s="8" t="n">
        <x:f>IFERROR('Resumen'!$B$14*K53/SUM($K$6:$K$337),0)</x:f>
        <x:v>155738.0890754502</x:v>
      </x:c>
      <x:c r="M53" s="8" t="n">
        <x:f>I53+L53</x:f>
        <x:v>301682.23907545017</x:v>
      </x:c>
      <x:c r="N53" s="8" t="n">
        <x:v>0</x:v>
      </x:c>
      <x:c r="O53" s="8" t="n">
        <x:f>N53*'Resumen'!$B$8</x:f>
        <x:v>0</x:v>
      </x:c>
      <x:c r="P53" s="8" t="n">
        <x:f>M53+O53</x:f>
        <x:v>301682.23907545017</x:v>
      </x:c>
      <x:c r="Q53" s="8" t="n">
        <x:f>P53-H53</x:f>
        <x:v>-166941.4109245498</x:v>
      </x:c>
      <x:c r="R53" s="8" t="n">
        <x:v>0</x:v>
      </x:c>
      <x:c r="S53" s="8" t="n">
        <x:f>R53*'Resumen'!$B$8</x:f>
        <x:v>0</x:v>
      </x:c>
      <x:c r="T53" s="8" t="n">
        <x:f>M53+S53</x:f>
        <x:v>301682.23907545017</x:v>
      </x:c>
      <x:c r="U53" s="8" t="n">
        <x:f>T53-H53</x:f>
        <x:v>-166941.4109245498</x:v>
      </x:c>
      <x:c r="V53" s="27" t="n">
        <x:v>0</x:v>
      </x:c>
    </x:row>
    <x:row r="54">
      <x:c r="A54" s="28" t="str">
        <x:v>206147</x:v>
      </x:c>
      <x:c r="B54" s="25" t="n">
        <x:v>25</x:v>
      </x:c>
      <x:c r="C54" s="25" t="n">
        <x:v>30984</x:v>
      </x:c>
      <x:c r="D54" s="25" t="n">
        <x:f>IF(B54=0,0,C54/B54)</x:f>
        <x:v>1239.36</x:v>
      </x:c>
      <x:c r="E54" s="26" t="n">
        <x:f>IF(D54=0,0,D54/MAX($D$6:$D$337))</x:f>
        <x:v>0.88670482420278</x:v>
      </x:c>
      <x:c r="F54" s="26" t="n">
        <x:f>IF(B54=0,0,B54/MAX($B$6:$B$337))</x:f>
        <x:v>0.8928571428571429</x:v>
      </x:c>
      <x:c r="G54" s="26" t="n">
        <x:f>'Resumen'!$B$9*E54+'Resumen'!$B$10*F54</x:f>
        <x:v>0.8885505197990888</x:v>
      </x:c>
      <x:c r="H54" s="8" t="n">
        <x:v>543279.04</x:v>
      </x:c>
      <x:c r="I54" s="8" t="n">
        <x:v>371936.16</x:v>
      </x:c>
      <x:c r="J54" s="8" t="n">
        <x:f>MAX(H54-I54,0)</x:f>
        <x:v>171342.88000000006</x:v>
      </x:c>
      <x:c r="K54" s="8" t="n">
        <x:f>J54*G54</x:f>
        <x:v>152246.80508787296</x:v>
      </x:c>
      <x:c r="L54" s="8" t="n">
        <x:f>IFERROR('Resumen'!$B$14*K54/SUM($K$6:$K$337),0)</x:f>
        <x:v>110276.70510053031</x:v>
      </x:c>
      <x:c r="M54" s="8" t="n">
        <x:f>I54+L54</x:f>
        <x:v>482212.86510053027</x:v>
      </x:c>
      <x:c r="N54" s="8" t="n">
        <x:v>678133.68</x:v>
      </x:c>
      <x:c r="O54" s="8" t="n">
        <x:f>N54*'Resumen'!$B$8</x:f>
        <x:v>203440.10400000002</x:v>
      </x:c>
      <x:c r="P54" s="8" t="n">
        <x:f>M54+O54</x:f>
        <x:v>685652.9691005303</x:v>
      </x:c>
      <x:c r="Q54" s="8" t="n">
        <x:f>P54-H54</x:f>
        <x:v>142373.92910053022</x:v>
      </x:c>
      <x:c r="R54" s="8" t="n">
        <x:v>645977.6</x:v>
      </x:c>
      <x:c r="S54" s="8" t="n">
        <x:f>R54*'Resumen'!$B$8</x:f>
        <x:v>193793.28</x:v>
      </x:c>
      <x:c r="T54" s="8" t="n">
        <x:f>M54+S54</x:f>
        <x:v>676006.1451005302</x:v>
      </x:c>
      <x:c r="U54" s="8" t="n">
        <x:f>T54-H54</x:f>
        <x:v>132727.1051005302</x:v>
      </x:c>
      <x:c r="V54" s="27" t="n">
        <x:v>18</x:v>
      </x:c>
    </x:row>
    <x:row r="55">
      <x:c r="A55" s="28" t="str">
        <x:v>206264</x:v>
      </x:c>
      <x:c r="B55" s="25" t="n">
        <x:v>23</x:v>
      </x:c>
      <x:c r="C55" s="25" t="n">
        <x:v>21638</x:v>
      </x:c>
      <x:c r="D55" s="25" t="n">
        <x:f>IF(B55=0,0,C55/B55)</x:f>
        <x:v>940.7826086956521</x:v>
      </x:c>
      <x:c r="E55" s="26" t="n">
        <x:f>IF(D55=0,0,D55/MAX($D$6:$D$337))</x:f>
        <x:v>0.6730864943652458</x:v>
      </x:c>
      <x:c r="F55" s="26" t="n">
        <x:f>IF(B55=0,0,B55/MAX($B$6:$B$337))</x:f>
        <x:v>0.8214285714285714</x:v>
      </x:c>
      <x:c r="G55" s="26" t="n">
        <x:f>'Resumen'!$B$9*E55+'Resumen'!$B$10*F55</x:f>
        <x:v>0.7175891174842435</x:v>
      </x:c>
      <x:c r="H55" s="8" t="n">
        <x:v>242399.18999999997</x:v>
      </x:c>
      <x:c r="I55" s="8" t="n">
        <x:v>177761.56999999995</x:v>
      </x:c>
      <x:c r="J55" s="8" t="n">
        <x:f>MAX(H55-I55,0)</x:f>
        <x:v>64637.620000000024</x:v>
      </x:c>
      <x:c r="K55" s="8" t="n">
        <x:f>J55*G55</x:f>
        <x:v>46383.2526920819</x:v>
      </x:c>
      <x:c r="L55" s="8" t="n">
        <x:f>IFERROR('Resumen'!$B$14*K55/SUM($K$6:$K$337),0)</x:f>
        <x:v>33596.71341395868</x:v>
      </x:c>
      <x:c r="M55" s="8" t="n">
        <x:f>I55+L55</x:f>
        <x:v>211358.28341395862</x:v>
      </x:c>
      <x:c r="N55" s="8" t="n">
        <x:v>0</x:v>
      </x:c>
      <x:c r="O55" s="8" t="n">
        <x:f>N55*'Resumen'!$B$8</x:f>
        <x:v>0</x:v>
      </x:c>
      <x:c r="P55" s="8" t="n">
        <x:f>M55+O55</x:f>
        <x:v>211358.28341395862</x:v>
      </x:c>
      <x:c r="Q55" s="8" t="n">
        <x:f>P55-H55</x:f>
        <x:v>-31040.906586041354</x:v>
      </x:c>
      <x:c r="R55" s="8" t="n">
        <x:v>0</x:v>
      </x:c>
      <x:c r="S55" s="8" t="n">
        <x:f>R55*'Resumen'!$B$8</x:f>
        <x:v>0</x:v>
      </x:c>
      <x:c r="T55" s="8" t="n">
        <x:f>M55+S55</x:f>
        <x:v>211358.28341395862</x:v>
      </x:c>
      <x:c r="U55" s="8" t="n">
        <x:f>T55-H55</x:f>
        <x:v>-31040.906586041354</x:v>
      </x:c>
      <x:c r="V55" s="27" t="n">
        <x:v>0</x:v>
      </x:c>
    </x:row>
    <x:row r="56">
      <x:c r="A56" s="28" t="str">
        <x:v>206265</x:v>
      </x:c>
      <x:c r="B56" s="25" t="n">
        <x:v>17</x:v>
      </x:c>
      <x:c r="C56" s="25" t="n">
        <x:v>14210</x:v>
      </x:c>
      <x:c r="D56" s="25" t="n">
        <x:f>IF(B56=0,0,C56/B56)</x:f>
        <x:v>835.8823529411765</x:v>
      </x:c>
      <x:c r="E56" s="26" t="n">
        <x:f>IF(D56=0,0,D56/MAX($D$6:$D$337))</x:f>
        <x:v>0.5980352075417248</x:v>
      </x:c>
      <x:c r="F56" s="26" t="n">
        <x:f>IF(B56=0,0,B56/MAX($B$6:$B$337))</x:f>
        <x:v>0.6071428571428571</x:v>
      </x:c>
      <x:c r="G56" s="26" t="n">
        <x:f>'Resumen'!$B$9*E56+'Resumen'!$B$10*F56</x:f>
        <x:v>0.6007675024220644</x:v>
      </x:c>
      <x:c r="H56" s="8" t="n">
        <x:v>121166.69</x:v>
      </x:c>
      <x:c r="I56" s="8" t="n">
        <x:v>96221.77999999998</x:v>
      </x:c>
      <x:c r="J56" s="8" t="n">
        <x:f>MAX(H56-I56,0)</x:f>
        <x:v>24944.910000000018</x:v>
      </x:c>
      <x:c r="K56" s="8" t="n">
        <x:f>J56*G56</x:f>
        <x:v>14986.09127884319</x:v>
      </x:c>
      <x:c r="L56" s="8" t="n">
        <x:f>IFERROR('Resumen'!$B$14*K56/SUM($K$6:$K$337),0)</x:f>
        <x:v>10854.853522954203</x:v>
      </x:c>
      <x:c r="M56" s="8" t="n">
        <x:f>I56+L56</x:f>
        <x:v>107076.63352295419</x:v>
      </x:c>
      <x:c r="N56" s="8" t="n">
        <x:v>0</x:v>
      </x:c>
      <x:c r="O56" s="8" t="n">
        <x:f>N56*'Resumen'!$B$8</x:f>
        <x:v>0</x:v>
      </x:c>
      <x:c r="P56" s="8" t="n">
        <x:f>M56+O56</x:f>
        <x:v>107076.63352295419</x:v>
      </x:c>
      <x:c r="Q56" s="8" t="n">
        <x:f>P56-H56</x:f>
        <x:v>-14090.056477045815</x:v>
      </x:c>
      <x:c r="R56" s="8" t="n">
        <x:v>0</x:v>
      </x:c>
      <x:c r="S56" s="8" t="n">
        <x:f>R56*'Resumen'!$B$8</x:f>
        <x:v>0</x:v>
      </x:c>
      <x:c r="T56" s="8" t="n">
        <x:f>M56+S56</x:f>
        <x:v>107076.63352295419</x:v>
      </x:c>
      <x:c r="U56" s="8" t="n">
        <x:f>T56-H56</x:f>
        <x:v>-14090.056477045815</x:v>
      </x:c>
      <x:c r="V56" s="27" t="n">
        <x:v>0</x:v>
      </x:c>
    </x:row>
    <x:row r="57">
      <x:c r="A57" s="28" t="str">
        <x:v>206693</x:v>
      </x:c>
      <x:c r="B57" s="25" t="n">
        <x:v>25</x:v>
      </x:c>
      <x:c r="C57" s="25" t="n">
        <x:v>20622</x:v>
      </x:c>
      <x:c r="D57" s="25" t="n">
        <x:f>IF(B57=0,0,C57/B57)</x:f>
        <x:v>824.88</x:v>
      </x:c>
      <x:c r="E57" s="26" t="n">
        <x:f>IF(D57=0,0,D57/MAX($D$6:$D$337))</x:f>
        <x:v>0.5901635322976287</x:v>
      </x:c>
      <x:c r="F57" s="26" t="n">
        <x:f>IF(B57=0,0,B57/MAX($B$6:$B$337))</x:f>
        <x:v>0.8928571428571429</x:v>
      </x:c>
      <x:c r="G57" s="26" t="n">
        <x:f>'Resumen'!$B$9*E57+'Resumen'!$B$10*F57</x:f>
        <x:v>0.680971615465483</x:v>
      </x:c>
      <x:c r="H57" s="8" t="n">
        <x:v>540397.74</x:v>
      </x:c>
      <x:c r="I57" s="8" t="n">
        <x:v>154065.87</x:v>
      </x:c>
      <x:c r="J57" s="8" t="n">
        <x:f>MAX(H57-I57,0)</x:f>
        <x:v>386331.87</x:v>
      </x:c>
      <x:c r="K57" s="8" t="n">
        <x:f>J57*G57</x:f>
        <x:v>263081.03761970095</x:v>
      </x:c>
      <x:c r="L57" s="8" t="n">
        <x:f>IFERROR('Resumen'!$B$14*K57/SUM($K$6:$K$337),0)</x:f>
        <x:v>190557.10224187933</x:v>
      </x:c>
      <x:c r="M57" s="8" t="n">
        <x:f>I57+L57</x:f>
        <x:v>344622.9722418793</x:v>
      </x:c>
      <x:c r="N57" s="8" t="n">
        <x:v>0</x:v>
      </x:c>
      <x:c r="O57" s="8" t="n">
        <x:f>N57*'Resumen'!$B$8</x:f>
        <x:v>0</x:v>
      </x:c>
      <x:c r="P57" s="8" t="n">
        <x:f>M57+O57</x:f>
        <x:v>344622.9722418793</x:v>
      </x:c>
      <x:c r="Q57" s="8" t="n">
        <x:f>P57-H57</x:f>
        <x:v>-195774.76775812067</x:v>
      </x:c>
      <x:c r="R57" s="8" t="n">
        <x:v>0</x:v>
      </x:c>
      <x:c r="S57" s="8" t="n">
        <x:f>R57*'Resumen'!$B$8</x:f>
        <x:v>0</x:v>
      </x:c>
      <x:c r="T57" s="8" t="n">
        <x:f>M57+S57</x:f>
        <x:v>344622.9722418793</x:v>
      </x:c>
      <x:c r="U57" s="8" t="n">
        <x:f>T57-H57</x:f>
        <x:v>-195774.76775812067</x:v>
      </x:c>
      <x:c r="V57" s="27" t="n">
        <x:v>0</x:v>
      </x:c>
    </x:row>
    <x:row r="58">
      <x:c r="A58" s="28" t="str">
        <x:v>206694</x:v>
      </x:c>
      <x:c r="B58" s="25" t="n">
        <x:v>28</x:v>
      </x:c>
      <x:c r="C58" s="25" t="n">
        <x:v>34828</x:v>
      </x:c>
      <x:c r="D58" s="25" t="n">
        <x:f>IF(B58=0,0,C58/B58)</x:f>
        <x:v>1243.857142857143</x:v>
      </x:c>
      <x:c r="E58" s="26" t="n">
        <x:f>IF(D58=0,0,D58/MAX($D$6:$D$337))</x:f>
        <x:v>0.8899223221586263</x:v>
      </x:c>
      <x:c r="F58" s="26" t="n">
        <x:f>IF(B58=0,0,B58/MAX($B$6:$B$337))</x:f>
        <x:v>1</x:v>
      </x:c>
      <x:c r="G58" s="26" t="n">
        <x:f>'Resumen'!$B$9*E58+'Resumen'!$B$10*F58</x:f>
        <x:v>0.9229456255110384</x:v>
      </x:c>
      <x:c r="H58" s="8" t="n">
        <x:v>685684.4900000001</x:v>
      </x:c>
      <x:c r="I58" s="8" t="n">
        <x:v>394770.63</x:v>
      </x:c>
      <x:c r="J58" s="8" t="n">
        <x:f>MAX(H58-I58,0)</x:f>
        <x:v>290913.8600000001</x:v>
      </x:c>
      <x:c r="K58" s="8" t="n">
        <x:f>J58*G58</x:f>
        <x:v>268497.6744875308</x:v>
      </x:c>
      <x:c r="L58" s="8" t="n">
        <x:f>IFERROR('Resumen'!$B$14*K58/SUM($K$6:$K$337),0)</x:f>
        <x:v>194480.5268823213</x:v>
      </x:c>
      <x:c r="M58" s="8" t="n">
        <x:f>I58+L58</x:f>
        <x:v>589251.1568823213</x:v>
      </x:c>
      <x:c r="N58" s="8" t="n">
        <x:v>712724.0700000001</x:v>
      </x:c>
      <x:c r="O58" s="8" t="n">
        <x:f>N58*'Resumen'!$B$8</x:f>
        <x:v>213817.22100000002</x:v>
      </x:c>
      <x:c r="P58" s="8" t="n">
        <x:f>M58+O58</x:f>
        <x:v>803068.3778823214</x:v>
      </x:c>
      <x:c r="Q58" s="8" t="n">
        <x:f>P58-H58</x:f>
        <x:v>117383.88788232126</x:v>
      </x:c>
      <x:c r="R58" s="8" t="n">
        <x:v>683175.31</x:v>
      </x:c>
      <x:c r="S58" s="8" t="n">
        <x:f>R58*'Resumen'!$B$8</x:f>
        <x:v>204952.59300000002</x:v>
      </x:c>
      <x:c r="T58" s="8" t="n">
        <x:f>M58+S58</x:f>
        <x:v>794203.7498823213</x:v>
      </x:c>
      <x:c r="U58" s="8" t="n">
        <x:f>T58-H58</x:f>
        <x:v>108519.25988232123</x:v>
      </x:c>
      <x:c r="V58" s="27" t="n">
        <x:v>19</x:v>
      </x:c>
    </x:row>
    <x:row r="59">
      <x:c r="A59" s="28" t="str">
        <x:v>206696</x:v>
      </x:c>
      <x:c r="B59" s="25" t="n">
        <x:v>28</x:v>
      </x:c>
      <x:c r="C59" s="25" t="n">
        <x:v>36658</x:v>
      </x:c>
      <x:c r="D59" s="25" t="n">
        <x:f>IF(B59=0,0,C59/B59)</x:f>
        <x:v>1309.2142857142858</x:v>
      </x:c>
      <x:c r="E59" s="26" t="n">
        <x:f>IF(D59=0,0,D59/MAX($D$6:$D$337))</x:f>
        <x:v>0.9366823385118561</x:v>
      </x:c>
      <x:c r="F59" s="26" t="n">
        <x:f>IF(B59=0,0,B59/MAX($B$6:$B$337))</x:f>
        <x:v>1</x:v>
      </x:c>
      <x:c r="G59" s="26" t="n">
        <x:f>'Resumen'!$B$9*E59+'Resumen'!$B$10*F59</x:f>
        <x:v>0.9556776369582993</x:v>
      </x:c>
      <x:c r="H59" s="8" t="n">
        <x:v>666068.6</x:v>
      </x:c>
      <x:c r="I59" s="8" t="n">
        <x:v>467106.67</x:v>
      </x:c>
      <x:c r="J59" s="8" t="n">
        <x:f>MAX(H59-I59,0)</x:f>
        <x:v>198961.93</x:v>
      </x:c>
      <x:c r="K59" s="8" t="n">
        <x:f>J59*G59</x:f>
        <x:v>190143.46710706255</x:v>
      </x:c>
      <x:c r="L59" s="8" t="n">
        <x:f>IFERROR('Resumen'!$B$14*K59/SUM($K$6:$K$337),0)</x:f>
        <x:v>137726.33873568315</x:v>
      </x:c>
      <x:c r="M59" s="8" t="n">
        <x:f>I59+L59</x:f>
        <x:v>604833.0087356832</x:v>
      </x:c>
      <x:c r="N59" s="8" t="n">
        <x:v>771310.7000000001</x:v>
      </x:c>
      <x:c r="O59" s="8" t="n">
        <x:f>N59*'Resumen'!$B$8</x:f>
        <x:v>231393.21000000002</x:v>
      </x:c>
      <x:c r="P59" s="8" t="n">
        <x:f>M59+O59</x:f>
        <x:v>836226.2187356832</x:v>
      </x:c>
      <x:c r="Q59" s="8" t="n">
        <x:f>P59-H59</x:f>
        <x:v>170157.61873568327</x:v>
      </x:c>
      <x:c r="R59" s="8" t="n">
        <x:v>691616.7000000001</x:v>
      </x:c>
      <x:c r="S59" s="8" t="n">
        <x:f>R59*'Resumen'!$B$8</x:f>
        <x:v>207485.01</x:v>
      </x:c>
      <x:c r="T59" s="8" t="n">
        <x:f>M59+S59</x:f>
        <x:v>812318.0187356832</x:v>
      </x:c>
      <x:c r="U59" s="8" t="n">
        <x:f>T59-H59</x:f>
        <x:v>146249.4187356832</x:v>
      </x:c>
      <x:c r="V59" s="27" t="n">
        <x:v>19</x:v>
      </x:c>
    </x:row>
    <x:row r="60">
      <x:c r="A60" s="28" t="str">
        <x:v>206697</x:v>
      </x:c>
      <x:c r="B60" s="25" t="n">
        <x:v>26</x:v>
      </x:c>
      <x:c r="C60" s="25" t="n">
        <x:v>21313</x:v>
      </x:c>
      <x:c r="D60" s="25" t="n">
        <x:f>IF(B60=0,0,C60/B60)</x:f>
        <x:v>819.7307692307693</x:v>
      </x:c>
      <x:c r="E60" s="26" t="n">
        <x:f>IF(D60=0,0,D60/MAX($D$6:$D$337))</x:f>
        <x:v>0.5864794955657588</x:v>
      </x:c>
      <x:c r="F60" s="26" t="n">
        <x:f>IF(B60=0,0,B60/MAX($B$6:$B$337))</x:f>
        <x:v>0.9285714285714286</x:v>
      </x:c>
      <x:c r="G60" s="26" t="n">
        <x:f>'Resumen'!$B$9*E60+'Resumen'!$B$10*F60</x:f>
        <x:v>0.6891070754674598</x:v>
      </x:c>
      <x:c r="H60" s="8" t="n">
        <x:v>508128.6099999999</x:v>
      </x:c>
      <x:c r="I60" s="8" t="n">
        <x:v>171096.91000000006</x:v>
      </x:c>
      <x:c r="J60" s="8" t="n">
        <x:f>MAX(H60-I60,0)</x:f>
        <x:v>337031.69999999984</x:v>
      </x:c>
      <x:c r="K60" s="8" t="n">
        <x:f>J60*G60</x:f>
        <x:v>232250.92912682614</x:v>
      </x:c>
      <x:c r="L60" s="8" t="n">
        <x:f>IFERROR('Resumen'!$B$14*K60/SUM($K$6:$K$337),0)</x:f>
        <x:v>168225.97496125227</x:v>
      </x:c>
      <x:c r="M60" s="8" t="n">
        <x:f>I60+L60</x:f>
        <x:v>339322.88496125233</x:v>
      </x:c>
      <x:c r="N60" s="8" t="n">
        <x:v>0</x:v>
      </x:c>
      <x:c r="O60" s="8" t="n">
        <x:f>N60*'Resumen'!$B$8</x:f>
        <x:v>0</x:v>
      </x:c>
      <x:c r="P60" s="8" t="n">
        <x:f>M60+O60</x:f>
        <x:v>339322.88496125233</x:v>
      </x:c>
      <x:c r="Q60" s="8" t="n">
        <x:f>P60-H60</x:f>
        <x:v>-168805.7250387476</x:v>
      </x:c>
      <x:c r="R60" s="8" t="n">
        <x:v>0</x:v>
      </x:c>
      <x:c r="S60" s="8" t="n">
        <x:f>R60*'Resumen'!$B$8</x:f>
        <x:v>0</x:v>
      </x:c>
      <x:c r="T60" s="8" t="n">
        <x:f>M60+S60</x:f>
        <x:v>339322.88496125233</x:v>
      </x:c>
      <x:c r="U60" s="8" t="n">
        <x:f>T60-H60</x:f>
        <x:v>-168805.7250387476</x:v>
      </x:c>
      <x:c r="V60" s="27" t="n">
        <x:v>0</x:v>
      </x:c>
    </x:row>
    <x:row r="61">
      <x:c r="A61" s="28" t="str">
        <x:v>206711</x:v>
      </x:c>
      <x:c r="B61" s="25" t="n">
        <x:v>26</x:v>
      </x:c>
      <x:c r="C61" s="25" t="n">
        <x:v>30981</x:v>
      </x:c>
      <x:c r="D61" s="25" t="n">
        <x:f>IF(B61=0,0,C61/B61)</x:f>
        <x:v>1191.576923076923</x:v>
      </x:c>
      <x:c r="E61" s="26" t="n">
        <x:f>IF(D61=0,0,D61/MAX($D$6:$D$337))</x:f>
        <x:v>0.8525182401408893</x:v>
      </x:c>
      <x:c r="F61" s="26" t="n">
        <x:f>IF(B61=0,0,B61/MAX($B$6:$B$337))</x:f>
        <x:v>0.9285714285714286</x:v>
      </x:c>
      <x:c r="G61" s="26" t="n">
        <x:f>'Resumen'!$B$9*E61+'Resumen'!$B$10*F61</x:f>
        <x:v>0.8753341966700511</x:v>
      </x:c>
      <x:c r="H61" s="8" t="n">
        <x:v>529905.9299999999</x:v>
      </x:c>
      <x:c r="I61" s="8" t="n">
        <x:v>362690.6600000001</x:v>
      </x:c>
      <x:c r="J61" s="8" t="n">
        <x:f>MAX(H61-I61,0)</x:f>
        <x:v>167215.26999999984</x:v>
      </x:c>
      <x:c r="K61" s="8" t="n">
        <x:f>J61*G61</x:f>
        <x:v>146369.24403641556</x:v>
      </x:c>
      <x:c r="L61" s="8" t="n">
        <x:f>IFERROR('Resumen'!$B$14*K61/SUM($K$6:$K$337),0)</x:f>
        <x:v>106019.41992198203</x:v>
      </x:c>
      <x:c r="M61" s="8" t="n">
        <x:f>I61+L61</x:f>
        <x:v>468710.07992198213</x:v>
      </x:c>
      <x:c r="N61" s="8" t="n">
        <x:v>658997.88</x:v>
      </x:c>
      <x:c r="O61" s="8" t="n">
        <x:f>N61*'Resumen'!$B$8</x:f>
        <x:v>197699.364</x:v>
      </x:c>
      <x:c r="P61" s="8" t="n">
        <x:f>M61+O61</x:f>
        <x:v>666409.4439219821</x:v>
      </x:c>
      <x:c r="Q61" s="8" t="n">
        <x:f>P61-H61</x:f>
        <x:v>136503.51392198214</x:v>
      </x:c>
      <x:c r="R61" s="8" t="n">
        <x:v>662155.3300000001</x:v>
      </x:c>
      <x:c r="S61" s="8" t="n">
        <x:f>R61*'Resumen'!$B$8</x:f>
        <x:v>198646.59900000002</x:v>
      </x:c>
      <x:c r="T61" s="8" t="n">
        <x:f>M61+S61</x:f>
        <x:v>667356.6789219822</x:v>
      </x:c>
      <x:c r="U61" s="8" t="n">
        <x:f>T61-H61</x:f>
        <x:v>137450.74892198225</x:v>
      </x:c>
      <x:c r="V61" s="27" t="n">
        <x:v>19</x:v>
      </x:c>
    </x:row>
    <x:row r="62">
      <x:c r="A62" s="28" t="str">
        <x:v>206714</x:v>
      </x:c>
      <x:c r="B62" s="25" t="n">
        <x:v>26</x:v>
      </x:c>
      <x:c r="C62" s="25" t="n">
        <x:v>31566</x:v>
      </x:c>
      <x:c r="D62" s="25" t="n">
        <x:f>IF(B62=0,0,C62/B62)</x:f>
        <x:v>1214.076923076923</x:v>
      </x:c>
      <x:c r="E62" s="26" t="n">
        <x:f>IF(D62=0,0,D62/MAX($D$6:$D$337))</x:f>
        <x:v>0.8686159506887225</x:v>
      </x:c>
      <x:c r="F62" s="26" t="n">
        <x:f>IF(B62=0,0,B62/MAX($B$6:$B$337))</x:f>
        <x:v>0.9285714285714286</x:v>
      </x:c>
      <x:c r="G62" s="26" t="n">
        <x:f>'Resumen'!$B$9*E62+'Resumen'!$B$10*F62</x:f>
        <x:v>0.8866025940535344</x:v>
      </x:c>
      <x:c r="H62" s="8" t="n">
        <x:v>579315.23</x:v>
      </x:c>
      <x:c r="I62" s="8" t="n">
        <x:v>357655.42</x:v>
      </x:c>
      <x:c r="J62" s="8" t="n">
        <x:f>MAX(H62-I62,0)</x:f>
        <x:v>221659.81</x:v>
      </x:c>
      <x:c r="K62" s="8" t="n">
        <x:f>J62*G62</x:f>
        <x:v>196524.16254341355</x:v>
      </x:c>
      <x:c r="L62" s="8" t="n">
        <x:f>IFERROR('Resumen'!$B$14*K62/SUM($K$6:$K$337),0)</x:f>
        <x:v>142348.0585055309</x:v>
      </x:c>
      <x:c r="M62" s="8" t="n">
        <x:f>I62+L62</x:f>
        <x:v>500003.47850553086</x:v>
      </x:c>
      <x:c r="N62" s="8" t="n">
        <x:v>717335.6100000001</x:v>
      </x:c>
      <x:c r="O62" s="8" t="n">
        <x:f>N62*'Resumen'!$B$8</x:f>
        <x:v>215200.68300000002</x:v>
      </x:c>
      <x:c r="P62" s="8" t="n">
        <x:f>M62+O62</x:f>
        <x:v>715204.1615055308</x:v>
      </x:c>
      <x:c r="Q62" s="8" t="n">
        <x:f>P62-H62</x:f>
        <x:v>135888.93150553084</x:v>
      </x:c>
      <x:c r="R62" s="8" t="n">
        <x:v>669594.3899999999</x:v>
      </x:c>
      <x:c r="S62" s="8" t="n">
        <x:f>R62*'Resumen'!$B$8</x:f>
        <x:v>200878.31699999995</x:v>
      </x:c>
      <x:c r="T62" s="8" t="n">
        <x:f>M62+S62</x:f>
        <x:v>700881.7955055308</x:v>
      </x:c>
      <x:c r="U62" s="8" t="n">
        <x:f>T62-H62</x:f>
        <x:v>121566.5655055308</x:v>
      </x:c>
      <x:c r="V62" s="27" t="n">
        <x:v>19</x:v>
      </x:c>
    </x:row>
    <x:row r="63">
      <x:c r="A63" s="28" t="str">
        <x:v>206716</x:v>
      </x:c>
      <x:c r="B63" s="25" t="n">
        <x:v>23</x:v>
      </x:c>
      <x:c r="C63" s="25" t="n">
        <x:v>25641</x:v>
      </x:c>
      <x:c r="D63" s="25" t="n">
        <x:f>IF(B63=0,0,C63/B63)</x:f>
        <x:v>1114.8260869565217</x:v>
      </x:c>
      <x:c r="E63" s="26" t="n">
        <x:f>IF(D63=0,0,D63/MAX($D$6:$D$337))</x:f>
        <x:v>0.7976065626222049</x:v>
      </x:c>
      <x:c r="F63" s="26" t="n">
        <x:f>IF(B63=0,0,B63/MAX($B$6:$B$337))</x:f>
        <x:v>0.8214285714285714</x:v>
      </x:c>
      <x:c r="G63" s="26" t="n">
        <x:f>'Resumen'!$B$9*E63+'Resumen'!$B$10*F63</x:f>
        <x:v>0.8047531652641148</x:v>
      </x:c>
      <x:c r="H63" s="8" t="n">
        <x:v>408600.3599999999</x:v>
      </x:c>
      <x:c r="I63" s="8" t="n">
        <x:v>274598.94999999995</x:v>
      </x:c>
      <x:c r="J63" s="8" t="n">
        <x:f>MAX(H63-I63,0)</x:f>
        <x:v>134001.40999999997</x:v>
      </x:c>
      <x:c r="K63" s="8" t="n">
        <x:f>J63*G63</x:f>
        <x:v>107838.05884735438</x:v>
      </x:c>
      <x:c r="L63" s="8" t="n">
        <x:f>IFERROR('Resumen'!$B$14*K63/SUM($K$6:$K$337),0)</x:f>
        <x:v>78110.18304955272</x:v>
      </x:c>
      <x:c r="M63" s="8" t="n">
        <x:f>I63+L63</x:f>
        <x:v>352709.1330495527</x:v>
      </x:c>
      <x:c r="N63" s="8" t="n">
        <x:v>639300.6599999999</x:v>
      </x:c>
      <x:c r="O63" s="8" t="n">
        <x:f>N63*'Resumen'!$B$8</x:f>
        <x:v>191790.19799999997</x:v>
      </x:c>
      <x:c r="P63" s="8" t="n">
        <x:f>M63+O63</x:f>
        <x:v>544499.3310495527</x:v>
      </x:c>
      <x:c r="Q63" s="8" t="n">
        <x:f>P63-H63</x:f>
        <x:v>135898.97104955273</x:v>
      </x:c>
      <x:c r="R63" s="8" t="n">
        <x:v>594815.78</x:v>
      </x:c>
      <x:c r="S63" s="8" t="n">
        <x:f>R63*'Resumen'!$B$8</x:f>
        <x:v>178444.734</x:v>
      </x:c>
      <x:c r="T63" s="8" t="n">
        <x:f>M63+S63</x:f>
        <x:v>531153.8670495527</x:v>
      </x:c>
      <x:c r="U63" s="8" t="n">
        <x:f>T63-H63</x:f>
        <x:v>122553.5070495528</x:v>
      </x:c>
      <x:c r="V63" s="27" t="n">
        <x:v>18</x:v>
      </x:c>
    </x:row>
    <x:row r="64">
      <x:c r="A64" s="28" t="str">
        <x:v>206718</x:v>
      </x:c>
      <x:c r="B64" s="25" t="n">
        <x:v>26</x:v>
      </x:c>
      <x:c r="C64" s="25" t="n">
        <x:v>33080</x:v>
      </x:c>
      <x:c r="D64" s="25" t="n">
        <x:f>IF(B64=0,0,C64/B64)</x:f>
        <x:v>1272.3076923076924</x:v>
      </x:c>
      <x:c r="E64" s="26" t="n">
        <x:f>IF(D64=0,0,D64/MAX($D$6:$D$337))</x:f>
        <x:v>0.9102773759355934</x:v>
      </x:c>
      <x:c r="F64" s="26" t="n">
        <x:f>IF(B64=0,0,B64/MAX($B$6:$B$337))</x:f>
        <x:v>0.9285714285714286</x:v>
      </x:c>
      <x:c r="G64" s="26" t="n">
        <x:f>'Resumen'!$B$9*E64+'Resumen'!$B$10*F64</x:f>
        <x:v>0.915765591726344</x:v>
      </x:c>
      <x:c r="H64" s="8" t="n">
        <x:v>680164.9900000001</x:v>
      </x:c>
      <x:c r="I64" s="8" t="n">
        <x:v>401483.43999999994</x:v>
      </x:c>
      <x:c r="J64" s="8" t="n">
        <x:f>MAX(H64-I64,0)</x:f>
        <x:v>278681.55000000016</x:v>
      </x:c>
      <x:c r="K64" s="8" t="n">
        <x:f>J64*G64</x:f>
        <x:v>255206.97453896486</x:v>
      </x:c>
      <x:c r="L64" s="8" t="n">
        <x:f>IFERROR('Resumen'!$B$14*K64/SUM($K$6:$K$337),0)</x:f>
        <x:v>184853.69367579394</x:v>
      </x:c>
      <x:c r="M64" s="8" t="n">
        <x:f>I64+L64</x:f>
        <x:v>586337.1336757939</x:v>
      </x:c>
      <x:c r="N64" s="8" t="n">
        <x:v>698886.8999999999</x:v>
      </x:c>
      <x:c r="O64" s="8" t="n">
        <x:f>N64*'Resumen'!$B$8</x:f>
        <x:v>209666.06999999998</x:v>
      </x:c>
      <x:c r="P64" s="8" t="n">
        <x:f>M64+O64</x:f>
        <x:v>796003.2036757938</x:v>
      </x:c>
      <x:c r="Q64" s="8" t="n">
        <x:f>P64-H64</x:f>
        <x:v>115838.21367579373</x:v>
      </x:c>
      <x:c r="R64" s="8" t="n">
        <x:v>637272.1900000001</x:v>
      </x:c>
      <x:c r="S64" s="8" t="n">
        <x:f>R64*'Resumen'!$B$8</x:f>
        <x:v>191181.657</x:v>
      </x:c>
      <x:c r="T64" s="8" t="n">
        <x:f>M64+S64</x:f>
        <x:v>777518.7906757939</x:v>
      </x:c>
      <x:c r="U64" s="8" t="n">
        <x:f>T64-H64</x:f>
        <x:v>97353.80067579378</x:v>
      </x:c>
      <x:c r="V64" s="27" t="n">
        <x:v>18</x:v>
      </x:c>
    </x:row>
    <x:row r="65">
      <x:c r="A65" s="28" t="str">
        <x:v>206768</x:v>
      </x:c>
      <x:c r="B65" s="25" t="n">
        <x:v>26</x:v>
      </x:c>
      <x:c r="C65" s="25" t="n">
        <x:v>28488</x:v>
      </x:c>
      <x:c r="D65" s="25" t="n">
        <x:f>IF(B65=0,0,C65/B65)</x:f>
        <x:v>1095.6923076923076</x:v>
      </x:c>
      <x:c r="E65" s="26" t="n">
        <x:f>IF(D65=0,0,D65/MAX($D$6:$D$337))</x:f>
        <x:v>0.7839172274985847</x:v>
      </x:c>
      <x:c r="F65" s="26" t="n">
        <x:f>IF(B65=0,0,B65/MAX($B$6:$B$337))</x:f>
        <x:v>0.9285714285714286</x:v>
      </x:c>
      <x:c r="G65" s="26" t="n">
        <x:f>'Resumen'!$B$9*E65+'Resumen'!$B$10*F65</x:f>
        <x:v>0.8273134878204379</x:v>
      </x:c>
      <x:c r="H65" s="8" t="n">
        <x:v>424712.6500000001</x:v>
      </x:c>
      <x:c r="I65" s="8" t="n">
        <x:v>279961.46</x:v>
      </x:c>
      <x:c r="J65" s="8" t="n">
        <x:f>MAX(H65-I65,0)</x:f>
        <x:v>144751.19000000006</x:v>
      </x:c>
      <x:c r="K65" s="8" t="n">
        <x:f>J65*G65</x:f>
        <x:v>119754.61186505895</x:v>
      </x:c>
      <x:c r="L65" s="8" t="n">
        <x:f>IFERROR('Resumen'!$B$14*K65/SUM($K$6:$K$337),0)</x:f>
        <x:v>86741.68242446418</x:v>
      </x:c>
      <x:c r="M65" s="8" t="n">
        <x:f>I65+L65</x:f>
        <x:v>366703.1424244642</x:v>
      </x:c>
      <x:c r="N65" s="8" t="n">
        <x:v>640713.7699999999</x:v>
      </x:c>
      <x:c r="O65" s="8" t="n">
        <x:f>N65*'Resumen'!$B$8</x:f>
        <x:v>192214.13099999996</x:v>
      </x:c>
      <x:c r="P65" s="8" t="n">
        <x:f>M65+O65</x:f>
        <x:v>558917.2734244642</x:v>
      </x:c>
      <x:c r="Q65" s="8" t="n">
        <x:f>P65-H65</x:f>
        <x:v>134204.62342446408</x:v>
      </x:c>
      <x:c r="R65" s="8" t="n">
        <x:v>706038.39</x:v>
      </x:c>
      <x:c r="S65" s="8" t="n">
        <x:f>R65*'Resumen'!$B$8</x:f>
        <x:v>211811.517</x:v>
      </x:c>
      <x:c r="T65" s="8" t="n">
        <x:f>M65+S65</x:f>
        <x:v>578514.6594244642</x:v>
      </x:c>
      <x:c r="U65" s="8" t="n">
        <x:f>T65-H65</x:f>
        <x:v>153802.00942446414</x:v>
      </x:c>
      <x:c r="V65" s="27" t="n">
        <x:v>19</x:v>
      </x:c>
    </x:row>
    <x:row r="66">
      <x:c r="A66" s="28" t="str">
        <x:v>206770</x:v>
      </x:c>
      <x:c r="B66" s="25" t="n">
        <x:v>26</x:v>
      </x:c>
      <x:c r="C66" s="25" t="n">
        <x:v>27784</x:v>
      </x:c>
      <x:c r="D66" s="25" t="n">
        <x:f>IF(B66=0,0,C66/B66)</x:f>
        <x:v>1068.6153846153845</x:v>
      </x:c>
      <x:c r="E66" s="26" t="n">
        <x:f>IF(D66=0,0,D66/MAX($D$6:$D$337))</x:f>
        <x:v>0.7645449399333291</x:v>
      </x:c>
      <x:c r="F66" s="26" t="n">
        <x:f>IF(B66=0,0,B66/MAX($B$6:$B$337))</x:f>
        <x:v>0.9285714285714286</x:v>
      </x:c>
      <x:c r="G66" s="26" t="n">
        <x:f>'Resumen'!$B$9*E66+'Resumen'!$B$10*F66</x:f>
        <x:v>0.8137528865247589</x:v>
      </x:c>
      <x:c r="H66" s="8" t="n">
        <x:v>398080.11999999994</x:v>
      </x:c>
      <x:c r="I66" s="8" t="n">
        <x:v>314124.3</x:v>
      </x:c>
      <x:c r="J66" s="8" t="n">
        <x:f>MAX(H66-I66,0)</x:f>
        <x:v>83955.81999999995</x:v>
      </x:c>
      <x:c r="K66" s="8" t="n">
        <x:f>J66*G66</x:f>
        <x:v>68319.29086555303</x:v>
      </x:c>
      <x:c r="L66" s="8" t="n">
        <x:f>IFERROR('Resumen'!$B$14*K66/SUM($K$6:$K$337),0)</x:f>
        <x:v>49485.611780881045</x:v>
      </x:c>
      <x:c r="M66" s="8" t="n">
        <x:f>I66+L66</x:f>
        <x:v>363609.91178088106</x:v>
      </x:c>
      <x:c r="N66" s="8" t="n">
        <x:v>0</x:v>
      </x:c>
      <x:c r="O66" s="8" t="n">
        <x:f>N66*'Resumen'!$B$8</x:f>
        <x:v>0</x:v>
      </x:c>
      <x:c r="P66" s="8" t="n">
        <x:f>M66+O66</x:f>
        <x:v>363609.91178088106</x:v>
      </x:c>
      <x:c r="Q66" s="8" t="n">
        <x:f>P66-H66</x:f>
        <x:v>-34470.20821911888</x:v>
      </x:c>
      <x:c r="R66" s="8" t="n">
        <x:v>0</x:v>
      </x:c>
      <x:c r="S66" s="8" t="n">
        <x:f>R66*'Resumen'!$B$8</x:f>
        <x:v>0</x:v>
      </x:c>
      <x:c r="T66" s="8" t="n">
        <x:f>M66+S66</x:f>
        <x:v>363609.91178088106</x:v>
      </x:c>
      <x:c r="U66" s="8" t="n">
        <x:f>T66-H66</x:f>
        <x:v>-34470.20821911888</x:v>
      </x:c>
      <x:c r="V66" s="27" t="n">
        <x:v>0</x:v>
      </x:c>
    </x:row>
    <x:row r="67">
      <x:c r="A67" s="28" t="str">
        <x:v>206776</x:v>
      </x:c>
      <x:c r="B67" s="25" t="n">
        <x:v>21</x:v>
      </x:c>
      <x:c r="C67" s="25" t="n">
        <x:v>15124</x:v>
      </x:c>
      <x:c r="D67" s="25" t="n">
        <x:f>IF(B67=0,0,C67/B67)</x:f>
        <x:v>720.1904761904761</x:v>
      </x:c>
      <x:c r="E67" s="26" t="n">
        <x:f>IF(D67=0,0,D67/MAX($D$6:$D$337))</x:f>
        <x:v>0.5152630144453529</x:v>
      </x:c>
      <x:c r="F67" s="26" t="n">
        <x:f>IF(B67=0,0,B67/MAX($B$6:$B$337))</x:f>
        <x:v>0.75</x:v>
      </x:c>
      <x:c r="G67" s="26" t="n">
        <x:f>'Resumen'!$B$9*E67+'Resumen'!$B$10*F67</x:f>
        <x:v>0.585684110111747</x:v>
      </x:c>
      <x:c r="H67" s="8" t="n">
        <x:v>285479.89999999997</x:v>
      </x:c>
      <x:c r="I67" s="8" t="n">
        <x:v>86339.85</x:v>
      </x:c>
      <x:c r="J67" s="8" t="n">
        <x:f>MAX(H67-I67,0)</x:f>
        <x:v>199140.04999999996</x:v>
      </x:c>
      <x:c r="K67" s="8" t="n">
        <x:f>J67*G67</x:f>
        <x:v>116633.1629718588</x:v>
      </x:c>
      <x:c r="L67" s="8" t="n">
        <x:f>IFERROR('Resumen'!$B$14*K67/SUM($K$6:$K$337),0)</x:f>
        <x:v>84480.7279244132</x:v>
      </x:c>
      <x:c r="M67" s="8" t="n">
        <x:f>I67+L67</x:f>
        <x:v>170820.5779244132</x:v>
      </x:c>
      <x:c r="N67" s="8" t="n">
        <x:v>0</x:v>
      </x:c>
      <x:c r="O67" s="8" t="n">
        <x:f>N67*'Resumen'!$B$8</x:f>
        <x:v>0</x:v>
      </x:c>
      <x:c r="P67" s="8" t="n">
        <x:f>M67+O67</x:f>
        <x:v>170820.5779244132</x:v>
      </x:c>
      <x:c r="Q67" s="8" t="n">
        <x:f>P67-H67</x:f>
        <x:v>-114659.32207558677</x:v>
      </x:c>
      <x:c r="R67" s="8" t="n">
        <x:v>0</x:v>
      </x:c>
      <x:c r="S67" s="8" t="n">
        <x:f>R67*'Resumen'!$B$8</x:f>
        <x:v>0</x:v>
      </x:c>
      <x:c r="T67" s="8" t="n">
        <x:f>M67+S67</x:f>
        <x:v>170820.5779244132</x:v>
      </x:c>
      <x:c r="U67" s="8" t="n">
        <x:f>T67-H67</x:f>
        <x:v>-114659.32207558677</x:v>
      </x:c>
      <x:c r="V67" s="27" t="n">
        <x:v>0</x:v>
      </x:c>
    </x:row>
    <x:row r="68">
      <x:c r="A68" s="28" t="str">
        <x:v>206788</x:v>
      </x:c>
      <x:c r="B68" s="25" t="n">
        <x:v>26</x:v>
      </x:c>
      <x:c r="C68" s="25" t="n">
        <x:v>29433</x:v>
      </x:c>
      <x:c r="D68" s="25" t="n">
        <x:f>IF(B68=0,0,C68/B68)</x:f>
        <x:v>1132.0384615384614</x:v>
      </x:c>
      <x:c r="E68" s="26" t="n">
        <x:f>IF(D68=0,0,D68/MAX($D$6:$D$337))</x:f>
        <x:v>0.8099212214604691</x:v>
      </x:c>
      <x:c r="F68" s="26" t="n">
        <x:f>IF(B68=0,0,B68/MAX($B$6:$B$337))</x:f>
        <x:v>0.9285714285714286</x:v>
      </x:c>
      <x:c r="G68" s="26" t="n">
        <x:f>'Resumen'!$B$9*E68+'Resumen'!$B$10*F68</x:f>
        <x:v>0.8455162835937569</x:v>
      </x:c>
      <x:c r="H68" s="8" t="n">
        <x:v>493355.04000000004</x:v>
      </x:c>
      <x:c r="I68" s="8" t="n">
        <x:v>302631.3</x:v>
      </x:c>
      <x:c r="J68" s="8" t="n">
        <x:f>MAX(H68-I68,0)</x:f>
        <x:v>190723.74000000005</x:v>
      </x:c>
      <x:c r="K68" s="8" t="n">
        <x:f>J68*G68</x:f>
        <x:v>161260.027837902</x:v>
      </x:c>
      <x:c r="L68" s="8" t="n">
        <x:f>IFERROR('Resumen'!$B$14*K68/SUM($K$6:$K$337),0)</x:f>
        <x:v>116805.23951960505</x:v>
      </x:c>
      <x:c r="M68" s="8" t="n">
        <x:f>I68+L68</x:f>
        <x:v>419436.53951960505</x:v>
      </x:c>
      <x:c r="N68" s="8" t="n">
        <x:v>652124.22</x:v>
      </x:c>
      <x:c r="O68" s="8" t="n">
        <x:f>N68*'Resumen'!$B$8</x:f>
        <x:v>195637.26599999997</x:v>
      </x:c>
      <x:c r="P68" s="8" t="n">
        <x:f>M68+O68</x:f>
        <x:v>615073.805519605</x:v>
      </x:c>
      <x:c r="Q68" s="8" t="n">
        <x:f>P68-H68</x:f>
        <x:v>121718.76551960502</x:v>
      </x:c>
      <x:c r="R68" s="8" t="n">
        <x:v>713972.42</x:v>
      </x:c>
      <x:c r="S68" s="8" t="n">
        <x:f>R68*'Resumen'!$B$8</x:f>
        <x:v>214191.726</x:v>
      </x:c>
      <x:c r="T68" s="8" t="n">
        <x:f>M68+S68</x:f>
        <x:v>633628.265519605</x:v>
      </x:c>
      <x:c r="U68" s="8" t="n">
        <x:f>T68-H68</x:f>
        <x:v>140273.22551960498</x:v>
      </x:c>
      <x:c r="V68" s="27" t="n">
        <x:v>19</x:v>
      </x:c>
    </x:row>
    <x:row r="69">
      <x:c r="A69" s="28" t="str">
        <x:v>206815</x:v>
      </x:c>
      <x:c r="B69" s="25" t="n">
        <x:v>23</x:v>
      </x:c>
      <x:c r="C69" s="25" t="n">
        <x:v>18310</x:v>
      </x:c>
      <x:c r="D69" s="25" t="n">
        <x:f>IF(B69=0,0,C69/B69)</x:f>
        <x:v>796.0869565217391</x:v>
      </x:c>
      <x:c r="E69" s="26" t="n">
        <x:f>IF(D69=0,0,D69/MAX($D$6:$D$337))</x:f>
        <x:v>0.5695634398663301</x:v>
      </x:c>
      <x:c r="F69" s="26" t="n">
        <x:f>IF(B69=0,0,B69/MAX($B$6:$B$337))</x:f>
        <x:v>0.8214285714285714</x:v>
      </x:c>
      <x:c r="G69" s="26" t="n">
        <x:f>'Resumen'!$B$9*E69+'Resumen'!$B$10*F69</x:f>
        <x:v>0.6451229793350024</x:v>
      </x:c>
      <x:c r="H69" s="8" t="n">
        <x:v>362520.99000000005</x:v>
      </x:c>
      <x:c r="I69" s="8" t="n">
        <x:v>147865.80999999997</x:v>
      </x:c>
      <x:c r="J69" s="8" t="n">
        <x:f>MAX(H69-I69,0)</x:f>
        <x:v>214655.18000000008</x:v>
      </x:c>
      <x:c r="K69" s="8" t="n">
        <x:f>J69*G69</x:f>
        <x:v>138478.98925129126</x:v>
      </x:c>
      <x:c r="L69" s="8" t="n">
        <x:f>IFERROR('Resumen'!$B$14*K69/SUM($K$6:$K$337),0)</x:f>
        <x:v>100304.2832423979</x:v>
      </x:c>
      <x:c r="M69" s="8" t="n">
        <x:f>I69+L69</x:f>
        <x:v>248170.09324239788</x:v>
      </x:c>
      <x:c r="N69" s="8" t="n">
        <x:v>0</x:v>
      </x:c>
      <x:c r="O69" s="8" t="n">
        <x:f>N69*'Resumen'!$B$8</x:f>
        <x:v>0</x:v>
      </x:c>
      <x:c r="P69" s="8" t="n">
        <x:f>M69+O69</x:f>
        <x:v>248170.09324239788</x:v>
      </x:c>
      <x:c r="Q69" s="8" t="n">
        <x:f>P69-H69</x:f>
        <x:v>-114350.89675760217</x:v>
      </x:c>
      <x:c r="R69" s="8" t="n">
        <x:v>0</x:v>
      </x:c>
      <x:c r="S69" s="8" t="n">
        <x:f>R69*'Resumen'!$B$8</x:f>
        <x:v>0</x:v>
      </x:c>
      <x:c r="T69" s="8" t="n">
        <x:f>M69+S69</x:f>
        <x:v>248170.09324239788</x:v>
      </x:c>
      <x:c r="U69" s="8" t="n">
        <x:f>T69-H69</x:f>
        <x:v>-114350.89675760217</x:v>
      </x:c>
      <x:c r="V69" s="27" t="n">
        <x:v>0</x:v>
      </x:c>
    </x:row>
    <x:row r="70">
      <x:c r="A70" s="28" t="str">
        <x:v>207009</x:v>
      </x:c>
      <x:c r="B70" s="25" t="n">
        <x:v>28</x:v>
      </x:c>
      <x:c r="C70" s="25" t="n">
        <x:v>32320</x:v>
      </x:c>
      <x:c r="D70" s="25" t="n">
        <x:f>IF(B70=0,0,C70/B70)</x:f>
        <x:v>1154.2857142857142</x:v>
      </x:c>
      <x:c r="E70" s="26" t="n">
        <x:f>IF(D70=0,0,D70/MAX($D$6:$D$337))</x:f>
        <x:v>0.8258381030253474</x:v>
      </x:c>
      <x:c r="F70" s="26" t="n">
        <x:f>IF(B70=0,0,B70/MAX($B$6:$B$337))</x:f>
        <x:v>1</x:v>
      </x:c>
      <x:c r="G70" s="26" t="n">
        <x:f>'Resumen'!$B$9*E70+'Resumen'!$B$10*F70</x:f>
        <x:v>0.8780866721177432</x:v>
      </x:c>
      <x:c r="H70" s="8" t="n">
        <x:v>498047.87</x:v>
      </x:c>
      <x:c r="I70" s="8" t="n">
        <x:v>356713.09</x:v>
      </x:c>
      <x:c r="J70" s="8" t="n">
        <x:f>MAX(H70-I70,0)</x:f>
        <x:v>141334.77999999997</x:v>
      </x:c>
      <x:c r="K70" s="8" t="n">
        <x:f>J70*G70</x:f>
        <x:v>124104.18662469334</x:v>
      </x:c>
      <x:c r="L70" s="8" t="n">
        <x:f>IFERROR('Resumen'!$B$14*K70/SUM($K$6:$K$337),0)</x:f>
        <x:v>89892.20353263499</x:v>
      </x:c>
      <x:c r="M70" s="8" t="n">
        <x:f>I70+L70</x:f>
        <x:v>446605.293532635</x:v>
      </x:c>
      <x:c r="N70" s="8" t="n">
        <x:v>676353.9800000001</x:v>
      </x:c>
      <x:c r="O70" s="8" t="n">
        <x:f>N70*'Resumen'!$B$8</x:f>
        <x:v>202906.19400000002</x:v>
      </x:c>
      <x:c r="P70" s="8" t="n">
        <x:f>M70+O70</x:f>
        <x:v>649511.487532635</x:v>
      </x:c>
      <x:c r="Q70" s="8" t="n">
        <x:f>P70-H70</x:f>
        <x:v>151463.617532635</x:v>
      </x:c>
      <x:c r="R70" s="8" t="n">
        <x:v>647629.02</x:v>
      </x:c>
      <x:c r="S70" s="8" t="n">
        <x:f>R70*'Resumen'!$B$8</x:f>
        <x:v>194288.706</x:v>
      </x:c>
      <x:c r="T70" s="8" t="n">
        <x:f>M70+S70</x:f>
        <x:v>640893.9995326351</x:v>
      </x:c>
      <x:c r="U70" s="8" t="n">
        <x:f>T70-H70</x:f>
        <x:v>142846.1295326351</x:v>
      </x:c>
      <x:c r="V70" s="27" t="n">
        <x:v>19</x:v>
      </x:c>
    </x:row>
    <x:row r="71">
      <x:c r="A71" s="28" t="str">
        <x:v>207010</x:v>
      </x:c>
      <x:c r="B71" s="25" t="n">
        <x:v>25</x:v>
      </x:c>
      <x:c r="C71" s="25" t="n">
        <x:v>29395</x:v>
      </x:c>
      <x:c r="D71" s="25" t="n">
        <x:f>IF(B71=0,0,C71/B71)</x:f>
        <x:v>1175.8</x:v>
      </x:c>
      <x:c r="E71" s="26" t="n">
        <x:f>IF(D71=0,0,D71/MAX($D$6:$D$337))</x:f>
        <x:v>0.8412305805396565</x:v>
      </x:c>
      <x:c r="F71" s="26" t="n">
        <x:f>IF(B71=0,0,B71/MAX($B$6:$B$337))</x:f>
        <x:v>0.8928571428571429</x:v>
      </x:c>
      <x:c r="G71" s="26" t="n">
        <x:f>'Resumen'!$B$9*E71+'Resumen'!$B$10*F71</x:f>
        <x:v>0.8567185492349023</x:v>
      </x:c>
      <x:c r="H71" s="8" t="n">
        <x:v>423352.98</x:v>
      </x:c>
      <x:c r="I71" s="8" t="n">
        <x:v>350192.00000000006</x:v>
      </x:c>
      <x:c r="J71" s="8" t="n">
        <x:f>MAX(H71-I71,0)</x:f>
        <x:v>73160.97999999992</x:v>
      </x:c>
      <x:c r="K71" s="8" t="n">
        <x:f>J71*G71</x:f>
        <x:v>62678.368646203635</x:v>
      </x:c>
      <x:c r="L71" s="8" t="n">
        <x:f>IFERROR('Resumen'!$B$14*K71/SUM($K$6:$K$337),0)</x:f>
        <x:v>45399.730860626696</x:v>
      </x:c>
      <x:c r="M71" s="8" t="n">
        <x:f>I71+L71</x:f>
        <x:v>395591.73086062673</x:v>
      </x:c>
      <x:c r="N71" s="8" t="n">
        <x:v>0</x:v>
      </x:c>
      <x:c r="O71" s="8" t="n">
        <x:f>N71*'Resumen'!$B$8</x:f>
        <x:v>0</x:v>
      </x:c>
      <x:c r="P71" s="8" t="n">
        <x:f>M71+O71</x:f>
        <x:v>395591.73086062673</x:v>
      </x:c>
      <x:c r="Q71" s="8" t="n">
        <x:f>P71-H71</x:f>
        <x:v>-27761.24913937325</x:v>
      </x:c>
      <x:c r="R71" s="8" t="n">
        <x:v>0</x:v>
      </x:c>
      <x:c r="S71" s="8" t="n">
        <x:f>R71*'Resumen'!$B$8</x:f>
        <x:v>0</x:v>
      </x:c>
      <x:c r="T71" s="8" t="n">
        <x:f>M71+S71</x:f>
        <x:v>395591.73086062673</x:v>
      </x:c>
      <x:c r="U71" s="8" t="n">
        <x:f>T71-H71</x:f>
        <x:v>-27761.24913937325</x:v>
      </x:c>
      <x:c r="V71" s="27" t="n">
        <x:v>0</x:v>
      </x:c>
    </x:row>
    <x:row r="72">
      <x:c r="A72" s="28" t="str">
        <x:v>207015</x:v>
      </x:c>
      <x:c r="B72" s="25" t="n">
        <x:v>23</x:v>
      </x:c>
      <x:c r="C72" s="25" t="n">
        <x:v>17048</x:v>
      </x:c>
      <x:c r="D72" s="25" t="n">
        <x:f>IF(B72=0,0,C72/B72)</x:f>
        <x:v>741.2173913043479</x:v>
      </x:c>
      <x:c r="E72" s="26" t="n">
        <x:f>IF(D72=0,0,D72/MAX($D$6:$D$337))</x:f>
        <x:v>0.5303068008105514</x:v>
      </x:c>
      <x:c r="F72" s="26" t="n">
        <x:f>IF(B72=0,0,B72/MAX($B$6:$B$337))</x:f>
        <x:v>0.8214285714285714</x:v>
      </x:c>
      <x:c r="G72" s="26" t="n">
        <x:f>'Resumen'!$B$9*E72+'Resumen'!$B$10*F72</x:f>
        <x:v>0.6176433319959573</x:v>
      </x:c>
      <x:c r="H72" s="8" t="n">
        <x:v>144505.97</x:v>
      </x:c>
      <x:c r="I72" s="8" t="n">
        <x:v>115066.07999999999</x:v>
      </x:c>
      <x:c r="J72" s="8" t="n">
        <x:f>MAX(H72-I72,0)</x:f>
        <x:v>29439.890000000014</x:v>
      </x:c>
      <x:c r="K72" s="8" t="n">
        <x:f>J72*G72</x:f>
        <x:v>18183.351753194474</x:v>
      </x:c>
      <x:c r="L72" s="8" t="n">
        <x:f>IFERROR('Resumen'!$B$14*K72/SUM($K$6:$K$337),0)</x:f>
        <x:v>13170.720514423192</x:v>
      </x:c>
      <x:c r="M72" s="8" t="n">
        <x:f>I72+L72</x:f>
        <x:v>128236.80051442317</x:v>
      </x:c>
      <x:c r="N72" s="8" t="n">
        <x:v>0</x:v>
      </x:c>
      <x:c r="O72" s="8" t="n">
        <x:f>N72*'Resumen'!$B$8</x:f>
        <x:v>0</x:v>
      </x:c>
      <x:c r="P72" s="8" t="n">
        <x:f>M72+O72</x:f>
        <x:v>128236.80051442317</x:v>
      </x:c>
      <x:c r="Q72" s="8" t="n">
        <x:f>P72-H72</x:f>
        <x:v>-16269.16948557683</x:v>
      </x:c>
      <x:c r="R72" s="8" t="n">
        <x:v>0</x:v>
      </x:c>
      <x:c r="S72" s="8" t="n">
        <x:f>R72*'Resumen'!$B$8</x:f>
        <x:v>0</x:v>
      </x:c>
      <x:c r="T72" s="8" t="n">
        <x:f>M72+S72</x:f>
        <x:v>128236.80051442317</x:v>
      </x:c>
      <x:c r="U72" s="8" t="n">
        <x:f>T72-H72</x:f>
        <x:v>-16269.16948557683</x:v>
      </x:c>
      <x:c r="V72" s="27" t="n">
        <x:v>0</x:v>
      </x:c>
    </x:row>
    <x:row r="73">
      <x:c r="A73" s="28" t="str">
        <x:v>207033</x:v>
      </x:c>
      <x:c r="B73" s="25" t="n">
        <x:v>28</x:v>
      </x:c>
      <x:c r="C73" s="25" t="n">
        <x:v>35304</x:v>
      </x:c>
      <x:c r="D73" s="25" t="n">
        <x:f>IF(B73=0,0,C73/B73)</x:f>
        <x:v>1260.857142857143</x:v>
      </x:c>
      <x:c r="E73" s="26" t="n">
        <x:f>IF(D73=0,0,D73/MAX($D$6:$D$337))</x:f>
        <x:v>0.9020850367947669</x:v>
      </x:c>
      <x:c r="F73" s="26" t="n">
        <x:f>IF(B73=0,0,B73/MAX($B$6:$B$337))</x:f>
        <x:v>1</x:v>
      </x:c>
      <x:c r="G73" s="26" t="n">
        <x:f>'Resumen'!$B$9*E73+'Resumen'!$B$10*F73</x:f>
        <x:v>0.9314595257563367</x:v>
      </x:c>
      <x:c r="H73" s="8" t="n">
        <x:v>770964.69</x:v>
      </x:c>
      <x:c r="I73" s="8" t="n">
        <x:v>424509.18999999994</x:v>
      </x:c>
      <x:c r="J73" s="8" t="n">
        <x:f>MAX(H73-I73,0)</x:f>
        <x:v>346455.5</x:v>
      </x:c>
      <x:c r="K73" s="8" t="n">
        <x:f>J73*G73</x:f>
        <x:v>322709.2757256745</x:v>
      </x:c>
      <x:c r="L73" s="8" t="n">
        <x:f>IFERROR('Resumen'!$B$14*K73/SUM($K$6:$K$337),0)</x:f>
        <x:v>233747.5365204928</x:v>
      </x:c>
      <x:c r="M73" s="8" t="n">
        <x:f>I73+L73</x:f>
        <x:v>658256.7265204927</x:v>
      </x:c>
      <x:c r="N73" s="8" t="n">
        <x:v>0</x:v>
      </x:c>
      <x:c r="O73" s="8" t="n">
        <x:f>N73*'Resumen'!$B$8</x:f>
        <x:v>0</x:v>
      </x:c>
      <x:c r="P73" s="8" t="n">
        <x:f>M73+O73</x:f>
        <x:v>658256.7265204927</x:v>
      </x:c>
      <x:c r="Q73" s="8" t="n">
        <x:f>P73-H73</x:f>
        <x:v>-112707.96347950725</x:v>
      </x:c>
      <x:c r="R73" s="8" t="n">
        <x:v>0</x:v>
      </x:c>
      <x:c r="S73" s="8" t="n">
        <x:f>R73*'Resumen'!$B$8</x:f>
        <x:v>0</x:v>
      </x:c>
      <x:c r="T73" s="8" t="n">
        <x:f>M73+S73</x:f>
        <x:v>658256.7265204927</x:v>
      </x:c>
      <x:c r="U73" s="8" t="n">
        <x:f>T73-H73</x:f>
        <x:v>-112707.96347950725</x:v>
      </x:c>
      <x:c r="V73" s="27" t="n">
        <x:v>0</x:v>
      </x:c>
    </x:row>
    <x:row r="74">
      <x:c r="A74" s="28" t="str">
        <x:v>207036</x:v>
      </x:c>
      <x:c r="B74" s="25" t="n">
        <x:v>26</x:v>
      </x:c>
      <x:c r="C74" s="25" t="n">
        <x:v>30810</x:v>
      </x:c>
      <x:c r="D74" s="25" t="n">
        <x:f>IF(B74=0,0,C74/B74)</x:f>
        <x:v>1185</x:v>
      </x:c>
      <x:c r="E74" s="26" t="n">
        <x:f>IF(D74=0,0,D74/MAX($D$6:$D$337))</x:f>
        <x:v>0.847812755519215</x:v>
      </x:c>
      <x:c r="F74" s="26" t="n">
        <x:f>IF(B74=0,0,B74/MAX($B$6:$B$337))</x:f>
        <x:v>0.9285714285714286</x:v>
      </x:c>
      <x:c r="G74" s="26" t="n">
        <x:f>'Resumen'!$B$9*E74+'Resumen'!$B$10*F74</x:f>
        <x:v>0.8720403574348791</x:v>
      </x:c>
      <x:c r="H74" s="8" t="n">
        <x:v>577107.92</x:v>
      </x:c>
      <x:c r="I74" s="8" t="n">
        <x:v>389211.08000000013</x:v>
      </x:c>
      <x:c r="J74" s="8" t="n">
        <x:f>MAX(H74-I74,0)</x:f>
        <x:v>187896.8399999999</x:v>
      </x:c>
      <x:c r="K74" s="8" t="n">
        <x:f>J74*G74</x:f>
        <x:v>163853.6275144842</x:v>
      </x:c>
      <x:c r="L74" s="8" t="n">
        <x:f>IFERROR('Resumen'!$B$14*K74/SUM($K$6:$K$337),0)</x:f>
        <x:v>118683.85777053128</x:v>
      </x:c>
      <x:c r="M74" s="8" t="n">
        <x:f>I74+L74</x:f>
        <x:v>507894.9377705314</x:v>
      </x:c>
      <x:c r="N74" s="8" t="n">
        <x:v>0</x:v>
      </x:c>
      <x:c r="O74" s="8" t="n">
        <x:f>N74*'Resumen'!$B$8</x:f>
        <x:v>0</x:v>
      </x:c>
      <x:c r="P74" s="8" t="n">
        <x:f>M74+O74</x:f>
        <x:v>507894.9377705314</x:v>
      </x:c>
      <x:c r="Q74" s="8" t="n">
        <x:f>P74-H74</x:f>
        <x:v>-69212.98222946865</x:v>
      </x:c>
      <x:c r="R74" s="8" t="n">
        <x:v>0</x:v>
      </x:c>
      <x:c r="S74" s="8" t="n">
        <x:f>R74*'Resumen'!$B$8</x:f>
        <x:v>0</x:v>
      </x:c>
      <x:c r="T74" s="8" t="n">
        <x:f>M74+S74</x:f>
        <x:v>507894.9377705314</x:v>
      </x:c>
      <x:c r="U74" s="8" t="n">
        <x:f>T74-H74</x:f>
        <x:v>-69212.98222946865</x:v>
      </x:c>
      <x:c r="V74" s="27" t="n">
        <x:v>0</x:v>
      </x:c>
    </x:row>
    <x:row r="75">
      <x:c r="A75" s="28" t="str">
        <x:v>207038</x:v>
      </x:c>
      <x:c r="B75" s="25" t="n">
        <x:v>21</x:v>
      </x:c>
      <x:c r="C75" s="25" t="n">
        <x:v>19511</x:v>
      </x:c>
      <x:c r="D75" s="25" t="n">
        <x:f>IF(B75=0,0,C75/B75)</x:f>
        <x:v>929.0952380952381</x:v>
      </x:c>
      <x:c r="E75" s="26" t="n">
        <x:f>IF(D75=0,0,D75/MAX($D$6:$D$337))</x:f>
        <x:v>0.6647247206323248</x:v>
      </x:c>
      <x:c r="F75" s="26" t="n">
        <x:f>IF(B75=0,0,B75/MAX($B$6:$B$337))</x:f>
        <x:v>0.75</x:v>
      </x:c>
      <x:c r="G75" s="26" t="n">
        <x:f>'Resumen'!$B$9*E75+'Resumen'!$B$10*F75</x:f>
        <x:v>0.6903073044426273</x:v>
      </x:c>
      <x:c r="H75" s="8" t="n">
        <x:v>241711.12999999998</x:v>
      </x:c>
      <x:c r="I75" s="8" t="n">
        <x:v>175149.56</x:v>
      </x:c>
      <x:c r="J75" s="8" t="n">
        <x:f>MAX(H75-I75,0)</x:f>
        <x:v>66561.56999999998</x:v>
      </x:c>
      <x:c r="K75" s="8" t="n">
        <x:f>J75*G75</x:f>
        <x:v>45947.93796616924</x:v>
      </x:c>
      <x:c r="L75" s="8" t="n">
        <x:f>IFERROR('Resumen'!$B$14*K75/SUM($K$6:$K$337),0)</x:f>
        <x:v>33281.402536809685</x:v>
      </x:c>
      <x:c r="M75" s="8" t="n">
        <x:f>I75+L75</x:f>
        <x:v>208430.96253680967</x:v>
      </x:c>
      <x:c r="N75" s="8" t="n">
        <x:v>0</x:v>
      </x:c>
      <x:c r="O75" s="8" t="n">
        <x:f>N75*'Resumen'!$B$8</x:f>
        <x:v>0</x:v>
      </x:c>
      <x:c r="P75" s="8" t="n">
        <x:f>M75+O75</x:f>
        <x:v>208430.96253680967</x:v>
      </x:c>
      <x:c r="Q75" s="8" t="n">
        <x:f>P75-H75</x:f>
        <x:v>-33280.1674631903</x:v>
      </x:c>
      <x:c r="R75" s="8" t="n">
        <x:v>0</x:v>
      </x:c>
      <x:c r="S75" s="8" t="n">
        <x:f>R75*'Resumen'!$B$8</x:f>
        <x:v>0</x:v>
      </x:c>
      <x:c r="T75" s="8" t="n">
        <x:f>M75+S75</x:f>
        <x:v>208430.96253680967</x:v>
      </x:c>
      <x:c r="U75" s="8" t="n">
        <x:f>T75-H75</x:f>
        <x:v>-33280.1674631903</x:v>
      </x:c>
      <x:c r="V75" s="27" t="n">
        <x:v>0</x:v>
      </x:c>
    </x:row>
    <x:row r="76">
      <x:c r="A76" s="28" t="str">
        <x:v>207041</x:v>
      </x:c>
      <x:c r="B76" s="25" t="n">
        <x:v>27</x:v>
      </x:c>
      <x:c r="C76" s="25" t="n">
        <x:v>33513</x:v>
      </x:c>
      <x:c r="D76" s="25" t="n">
        <x:f>IF(B76=0,0,C76/B76)</x:f>
        <x:v>1241.2222222222222</x:v>
      </x:c>
      <x:c r="E76" s="26" t="n">
        <x:f>IF(D76=0,0,D76/MAX($D$6:$D$337))</x:f>
        <x:v>0.8880371581720723</x:v>
      </x:c>
      <x:c r="F76" s="26" t="n">
        <x:f>IF(B76=0,0,B76/MAX($B$6:$B$337))</x:f>
        <x:v>0.9642857142857143</x:v>
      </x:c>
      <x:c r="G76" s="26" t="n">
        <x:f>'Resumen'!$B$9*E76+'Resumen'!$B$10*F76</x:f>
        <x:v>0.9109117250061648</x:v>
      </x:c>
      <x:c r="H76" s="8" t="n">
        <x:v>650158.77</x:v>
      </x:c>
      <x:c r="I76" s="8" t="n">
        <x:v>432368.37000000005</x:v>
      </x:c>
      <x:c r="J76" s="8" t="n">
        <x:f>MAX(H76-I76,0)</x:f>
        <x:v>217790.39999999997</x:v>
      </x:c>
      <x:c r="K76" s="8" t="n">
        <x:f>J76*G76</x:f>
        <x:v>198387.8289537826</x:v>
      </x:c>
      <x:c r="L76" s="8" t="n">
        <x:f>IFERROR('Resumen'!$B$14*K76/SUM($K$6:$K$337),0)</x:f>
        <x:v>143697.96526399069</x:v>
      </x:c>
      <x:c r="M76" s="8" t="n">
        <x:f>I76+L76</x:f>
        <x:v>576066.3352639908</x:v>
      </x:c>
      <x:c r="N76" s="8" t="n">
        <x:v>0</x:v>
      </x:c>
      <x:c r="O76" s="8" t="n">
        <x:f>N76*'Resumen'!$B$8</x:f>
        <x:v>0</x:v>
      </x:c>
      <x:c r="P76" s="8" t="n">
        <x:f>M76+O76</x:f>
        <x:v>576066.3352639908</x:v>
      </x:c>
      <x:c r="Q76" s="8" t="n">
        <x:f>P76-H76</x:f>
        <x:v>-74092.43473600922</x:v>
      </x:c>
      <x:c r="R76" s="8" t="n">
        <x:v>0</x:v>
      </x:c>
      <x:c r="S76" s="8" t="n">
        <x:f>R76*'Resumen'!$B$8</x:f>
        <x:v>0</x:v>
      </x:c>
      <x:c r="T76" s="8" t="n">
        <x:f>M76+S76</x:f>
        <x:v>576066.3352639908</x:v>
      </x:c>
      <x:c r="U76" s="8" t="n">
        <x:f>T76-H76</x:f>
        <x:v>-74092.43473600922</x:v>
      </x:c>
      <x:c r="V76" s="27" t="n">
        <x:v>0</x:v>
      </x:c>
    </x:row>
    <x:row r="77">
      <x:c r="A77" s="28" t="str">
        <x:v>207056</x:v>
      </x:c>
      <x:c r="B77" s="25" t="n">
        <x:v>23</x:v>
      </x:c>
      <x:c r="C77" s="25" t="n">
        <x:v>22227</x:v>
      </x:c>
      <x:c r="D77" s="25" t="n">
        <x:f>IF(B77=0,0,C77/B77)</x:f>
        <x:v>966.3913043478261</x:v>
      </x:c>
      <x:c r="E77" s="26" t="n">
        <x:f>IF(D77=0,0,D77/MAX($D$6:$D$337))</x:f>
        <x:v>0.6914083330370792</x:v>
      </x:c>
      <x:c r="F77" s="26" t="n">
        <x:f>IF(B77=0,0,B77/MAX($B$6:$B$337))</x:f>
        <x:v>0.8214285714285714</x:v>
      </x:c>
      <x:c r="G77" s="26" t="n">
        <x:f>'Resumen'!$B$9*E77+'Resumen'!$B$10*F77</x:f>
        <x:v>0.7304144045545268</x:v>
      </x:c>
      <x:c r="H77" s="8" t="n">
        <x:v>299145.0299999999</x:v>
      </x:c>
      <x:c r="I77" s="8" t="n">
        <x:v>209557.78000000003</x:v>
      </x:c>
      <x:c r="J77" s="8" t="n">
        <x:f>MAX(H77-I77,0)</x:f>
        <x:v>89587.24999999988</x:v>
      </x:c>
      <x:c r="K77" s="8" t="n">
        <x:f>J77*G77</x:f>
        <x:v>65435.817864427445</x:v>
      </x:c>
      <x:c r="L77" s="8" t="n">
        <x:f>IFERROR('Resumen'!$B$14*K77/SUM($K$6:$K$337),0)</x:f>
        <x:v>47397.03000980915</x:v>
      </x:c>
      <x:c r="M77" s="8" t="n">
        <x:f>I77+L77</x:f>
        <x:v>256954.81000980918</x:v>
      </x:c>
      <x:c r="N77" s="8" t="n">
        <x:v>553456.72</x:v>
      </x:c>
      <x:c r="O77" s="8" t="n">
        <x:f>N77*'Resumen'!$B$8</x:f>
        <x:v>166037.01599999997</x:v>
      </x:c>
      <x:c r="P77" s="8" t="n">
        <x:f>M77+O77</x:f>
        <x:v>422991.82600980916</x:v>
      </x:c>
      <x:c r="Q77" s="8" t="n">
        <x:f>P77-H77</x:f>
        <x:v>123846.79600980924</x:v>
      </x:c>
      <x:c r="R77" s="8" t="n">
        <x:v>617420</x:v>
      </x:c>
      <x:c r="S77" s="8" t="n">
        <x:f>R77*'Resumen'!$B$8</x:f>
        <x:v>185226</x:v>
      </x:c>
      <x:c r="T77" s="8" t="n">
        <x:f>M77+S77</x:f>
        <x:v>442180.8100098092</x:v>
      </x:c>
      <x:c r="U77" s="8" t="n">
        <x:f>T77-H77</x:f>
        <x:v>143035.7800098093</x:v>
      </x:c>
      <x:c r="V77" s="27" t="n">
        <x:v>18</x:v>
      </x:c>
    </x:row>
    <x:row r="78">
      <x:c r="A78" s="28" t="str">
        <x:v>207397</x:v>
      </x:c>
      <x:c r="B78" s="25" t="n">
        <x:v>24</x:v>
      </x:c>
      <x:c r="C78" s="25" t="n">
        <x:v>20751</x:v>
      </x:c>
      <x:c r="D78" s="25" t="n">
        <x:f>IF(B78=0,0,C78/B78)</x:f>
        <x:v>864.625</x:v>
      </x:c>
      <x:c r="E78" s="26" t="n">
        <x:f>IF(D78=0,0,D78/MAX($D$6:$D$337))</x:f>
        <x:v>0.6185992436631235</x:v>
      </x:c>
      <x:c r="F78" s="26" t="n">
        <x:f>IF(B78=0,0,B78/MAX($B$6:$B$337))</x:f>
        <x:v>0.8571428571428571</x:v>
      </x:c>
      <x:c r="G78" s="26" t="n">
        <x:f>'Resumen'!$B$9*E78+'Resumen'!$B$10*F78</x:f>
        <x:v>0.6901623277070434</x:v>
      </x:c>
      <x:c r="H78" s="8" t="n">
        <x:v>560469.4500000001</x:v>
      </x:c>
      <x:c r="I78" s="8" t="n">
        <x:v>136025.97</x:v>
      </x:c>
      <x:c r="J78" s="8" t="n">
        <x:f>MAX(H78-I78,0)</x:f>
        <x:v>424443.4800000001</x:v>
      </x:c>
      <x:c r="K78" s="8" t="n">
        <x:f>J78*G78</x:f>
        <x:v>292934.900136878</x:v>
      </x:c>
      <x:c r="L78" s="8" t="n">
        <x:f>IFERROR('Resumen'!$B$14*K78/SUM($K$6:$K$337),0)</x:f>
        <x:v>212181.10670632997</x:v>
      </x:c>
      <x:c r="M78" s="8" t="n">
        <x:f>I78+L78</x:f>
        <x:v>348207.07670632994</x:v>
      </x:c>
      <x:c r="N78" s="8" t="n">
        <x:v>0</x:v>
      </x:c>
      <x:c r="O78" s="8" t="n">
        <x:f>N78*'Resumen'!$B$8</x:f>
        <x:v>0</x:v>
      </x:c>
      <x:c r="P78" s="8" t="n">
        <x:f>M78+O78</x:f>
        <x:v>348207.07670632994</x:v>
      </x:c>
      <x:c r="Q78" s="8" t="n">
        <x:f>P78-H78</x:f>
        <x:v>-212262.37329367013</x:v>
      </x:c>
      <x:c r="R78" s="8" t="n">
        <x:v>0</x:v>
      </x:c>
      <x:c r="S78" s="8" t="n">
        <x:f>R78*'Resumen'!$B$8</x:f>
        <x:v>0</x:v>
      </x:c>
      <x:c r="T78" s="8" t="n">
        <x:f>M78+S78</x:f>
        <x:v>348207.07670632994</x:v>
      </x:c>
      <x:c r="U78" s="8" t="n">
        <x:f>T78-H78</x:f>
        <x:v>-212262.37329367013</x:v>
      </x:c>
      <x:c r="V78" s="27" t="n">
        <x:v>0</x:v>
      </x:c>
    </x:row>
    <x:row r="79">
      <x:c r="A79" s="28" t="str">
        <x:v>207399</x:v>
      </x:c>
      <x:c r="B79" s="25" t="n">
        <x:v>26</x:v>
      </x:c>
      <x:c r="C79" s="25" t="n">
        <x:v>27199</x:v>
      </x:c>
      <x:c r="D79" s="25" t="n">
        <x:f>IF(B79=0,0,C79/B79)</x:f>
        <x:v>1046.1153846153845</x:v>
      </x:c>
      <x:c r="E79" s="26" t="n">
        <x:f>IF(D79=0,0,D79/MAX($D$6:$D$337))</x:f>
        <x:v>0.7484472293854958</x:v>
      </x:c>
      <x:c r="F79" s="26" t="n">
        <x:f>IF(B79=0,0,B79/MAX($B$6:$B$337))</x:f>
        <x:v>0.9285714285714286</x:v>
      </x:c>
      <x:c r="G79" s="26" t="n">
        <x:f>'Resumen'!$B$9*E79+'Resumen'!$B$10*F79</x:f>
        <x:v>0.8024844891412756</x:v>
      </x:c>
      <x:c r="H79" s="8" t="n">
        <x:v>350670.81</x:v>
      </x:c>
      <x:c r="I79" s="8" t="n">
        <x:v>315160.7600000001</x:v>
      </x:c>
      <x:c r="J79" s="8" t="n">
        <x:f>MAX(H79-I79,0)</x:f>
        <x:v>35510.04999999987</x:v>
      </x:c>
      <x:c r="K79" s="8" t="n">
        <x:f>J79*G79</x:f>
        <x:v>28496.26433363105</x:v>
      </x:c>
      <x:c r="L79" s="8" t="n">
        <x:f>IFERROR('Resumen'!$B$14*K79/SUM($K$6:$K$337),0)</x:f>
        <x:v>20640.657362713362</x:v>
      </x:c>
      <x:c r="M79" s="8" t="n">
        <x:f>I79+L79</x:f>
        <x:v>335801.4173627135</x:v>
      </x:c>
      <x:c r="N79" s="8" t="n">
        <x:v>0</x:v>
      </x:c>
      <x:c r="O79" s="8" t="n">
        <x:f>N79*'Resumen'!$B$8</x:f>
        <x:v>0</x:v>
      </x:c>
      <x:c r="P79" s="8" t="n">
        <x:f>M79+O79</x:f>
        <x:v>335801.4173627135</x:v>
      </x:c>
      <x:c r="Q79" s="8" t="n">
        <x:f>P79-H79</x:f>
        <x:v>-14869.39263728651</x:v>
      </x:c>
      <x:c r="R79" s="8" t="n">
        <x:v>0</x:v>
      </x:c>
      <x:c r="S79" s="8" t="n">
        <x:f>R79*'Resumen'!$B$8</x:f>
        <x:v>0</x:v>
      </x:c>
      <x:c r="T79" s="8" t="n">
        <x:f>M79+S79</x:f>
        <x:v>335801.4173627135</x:v>
      </x:c>
      <x:c r="U79" s="8" t="n">
        <x:f>T79-H79</x:f>
        <x:v>-14869.39263728651</x:v>
      </x:c>
      <x:c r="V79" s="27" t="n">
        <x:v>0</x:v>
      </x:c>
    </x:row>
    <x:row r="80">
      <x:c r="A80" s="28" t="str">
        <x:v>207402</x:v>
      </x:c>
      <x:c r="B80" s="25" t="n">
        <x:v>24</x:v>
      </x:c>
      <x:c r="C80" s="25" t="n">
        <x:v>23228</x:v>
      </x:c>
      <x:c r="D80" s="25" t="n">
        <x:f>IF(B80=0,0,C80/B80)</x:f>
        <x:v>967.8333333333334</x:v>
      </x:c>
      <x:c r="E80" s="26" t="n">
        <x:f>IF(D80=0,0,D80/MAX($D$6:$D$337))</x:f>
        <x:v>0.6924400381575361</x:v>
      </x:c>
      <x:c r="F80" s="26" t="n">
        <x:f>IF(B80=0,0,B80/MAX($B$6:$B$337))</x:f>
        <x:v>0.8571428571428571</x:v>
      </x:c>
      <x:c r="G80" s="26" t="n">
        <x:f>'Resumen'!$B$9*E80+'Resumen'!$B$10*F80</x:f>
        <x:v>0.7418508838531324</x:v>
      </x:c>
      <x:c r="H80" s="8" t="n">
        <x:v>267738.20999999996</x:v>
      </x:c>
      <x:c r="I80" s="8" t="n">
        <x:v>181770.37999999998</x:v>
      </x:c>
      <x:c r="J80" s="8" t="n">
        <x:f>MAX(H80-I80,0)</x:f>
        <x:v>85967.82999999999</x:v>
      </x:c>
      <x:c r="K80" s="8" t="n">
        <x:f>J80*G80</x:f>
        <x:v>63775.31066843582</x:v>
      </x:c>
      <x:c r="L80" s="8" t="n">
        <x:f>IFERROR('Resumen'!$B$14*K80/SUM($K$6:$K$337),0)</x:f>
        <x:v>46194.277267221296</x:v>
      </x:c>
      <x:c r="M80" s="8" t="n">
        <x:f>I80+L80</x:f>
        <x:v>227964.65726722128</x:v>
      </x:c>
      <x:c r="N80" s="8" t="n">
        <x:v>0</x:v>
      </x:c>
      <x:c r="O80" s="8" t="n">
        <x:f>N80*'Resumen'!$B$8</x:f>
        <x:v>0</x:v>
      </x:c>
      <x:c r="P80" s="8" t="n">
        <x:f>M80+O80</x:f>
        <x:v>227964.65726722128</x:v>
      </x:c>
      <x:c r="Q80" s="8" t="n">
        <x:f>P80-H80</x:f>
        <x:v>-39773.552732778684</x:v>
      </x:c>
      <x:c r="R80" s="8" t="n">
        <x:v>0</x:v>
      </x:c>
      <x:c r="S80" s="8" t="n">
        <x:f>R80*'Resumen'!$B$8</x:f>
        <x:v>0</x:v>
      </x:c>
      <x:c r="T80" s="8" t="n">
        <x:f>M80+S80</x:f>
        <x:v>227964.65726722128</x:v>
      </x:c>
      <x:c r="U80" s="8" t="n">
        <x:f>T80-H80</x:f>
        <x:v>-39773.552732778684</x:v>
      </x:c>
      <x:c r="V80" s="27" t="n">
        <x:v>0</x:v>
      </x:c>
    </x:row>
    <x:row r="81">
      <x:c r="A81" s="28" t="str">
        <x:v>207420</x:v>
      </x:c>
      <x:c r="B81" s="25" t="n">
        <x:v>25</x:v>
      </x:c>
      <x:c r="C81" s="25" t="n">
        <x:v>26444</x:v>
      </x:c>
      <x:c r="D81" s="25" t="n">
        <x:f>IF(B81=0,0,C81/B81)</x:f>
        <x:v>1057.76</x:v>
      </x:c>
      <x:c r="E81" s="26" t="n">
        <x:f>IF(D81=0,0,D81/MAX($D$6:$D$337))</x:f>
        <x:v>0.756778413736713</x:v>
      </x:c>
      <x:c r="F81" s="26" t="n">
        <x:f>IF(B81=0,0,B81/MAX($B$6:$B$337))</x:f>
        <x:v>0.8928571428571429</x:v>
      </x:c>
      <x:c r="G81" s="26" t="n">
        <x:f>'Resumen'!$B$9*E81+'Resumen'!$B$10*F81</x:f>
        <x:v>0.7976020324728419</x:v>
      </x:c>
      <x:c r="H81" s="8" t="n">
        <x:v>332461.93</x:v>
      </x:c>
      <x:c r="I81" s="8" t="n">
        <x:v>194236.39</x:v>
      </x:c>
      <x:c r="J81" s="8" t="n">
        <x:f>MAX(H81-I81,0)</x:f>
        <x:v>138225.53999999998</x:v>
      </x:c>
      <x:c r="K81" s="8" t="n">
        <x:f>J81*G81</x:f>
        <x:v>110248.97164365608</x:v>
      </x:c>
      <x:c r="L81" s="8" t="n">
        <x:f>IFERROR('Resumen'!$B$14*K81/SUM($K$6:$K$337),0)</x:f>
        <x:v>79856.4759803463</x:v>
      </x:c>
      <x:c r="M81" s="8" t="n">
        <x:f>I81+L81</x:f>
        <x:v>274092.86598034634</x:v>
      </x:c>
      <x:c r="N81" s="8" t="n">
        <x:v>0</x:v>
      </x:c>
      <x:c r="O81" s="8" t="n">
        <x:f>N81*'Resumen'!$B$8</x:f>
        <x:v>0</x:v>
      </x:c>
      <x:c r="P81" s="8" t="n">
        <x:f>M81+O81</x:f>
        <x:v>274092.86598034634</x:v>
      </x:c>
      <x:c r="Q81" s="8" t="n">
        <x:f>P81-H81</x:f>
        <x:v>-58369.064019653655</x:v>
      </x:c>
      <x:c r="R81" s="8" t="n">
        <x:v>0</x:v>
      </x:c>
      <x:c r="S81" s="8" t="n">
        <x:f>R81*'Resumen'!$B$8</x:f>
        <x:v>0</x:v>
      </x:c>
      <x:c r="T81" s="8" t="n">
        <x:f>M81+S81</x:f>
        <x:v>274092.86598034634</x:v>
      </x:c>
      <x:c r="U81" s="8" t="n">
        <x:f>T81-H81</x:f>
        <x:v>-58369.064019653655</x:v>
      </x:c>
      <x:c r="V81" s="27" t="n">
        <x:v>0</x:v>
      </x:c>
    </x:row>
    <x:row r="82">
      <x:c r="A82" s="28" t="str">
        <x:v>207425</x:v>
      </x:c>
      <x:c r="B82" s="25" t="n">
        <x:v>23</x:v>
      </x:c>
      <x:c r="C82" s="25" t="n">
        <x:v>15468</x:v>
      </x:c>
      <x:c r="D82" s="25" t="n">
        <x:f>IF(B82=0,0,C82/B82)</x:f>
        <x:v>672.5217391304348</x:v>
      </x:c>
      <x:c r="E82" s="26" t="n">
        <x:f>IF(D82=0,0,D82/MAX($D$6:$D$337))</x:f>
        <x:v>0.48115823527320556</x:v>
      </x:c>
      <x:c r="F82" s="26" t="n">
        <x:f>IF(B82=0,0,B82/MAX($B$6:$B$337))</x:f>
        <x:v>0.8214285714285714</x:v>
      </x:c>
      <x:c r="G82" s="26" t="n">
        <x:f>'Resumen'!$B$9*E82+'Resumen'!$B$10*F82</x:f>
        <x:v>0.5832393361198153</x:v>
      </x:c>
      <x:c r="H82" s="8" t="n">
        <x:v>214311.57</x:v>
      </x:c>
      <x:c r="I82" s="8" t="n">
        <x:v>131204.49000000002</x:v>
      </x:c>
      <x:c r="J82" s="8" t="n">
        <x:f>MAX(H82-I82,0)</x:f>
        <x:v>83107.07999999999</x:v>
      </x:c>
      <x:c r="K82" s="8" t="n">
        <x:f>J82*G82</x:f>
        <x:v>48471.31816605637</x:v>
      </x:c>
      <x:c r="L82" s="8" t="n">
        <x:f>IFERROR('Resumen'!$B$14*K82/SUM($K$6:$K$337),0)</x:f>
        <x:v>35109.15881713925</x:v>
      </x:c>
      <x:c r="M82" s="8" t="n">
        <x:f>I82+L82</x:f>
        <x:v>166313.64881713927</x:v>
      </x:c>
      <x:c r="N82" s="8" t="n">
        <x:v>0</x:v>
      </x:c>
      <x:c r="O82" s="8" t="n">
        <x:f>N82*'Resumen'!$B$8</x:f>
        <x:v>0</x:v>
      </x:c>
      <x:c r="P82" s="8" t="n">
        <x:f>M82+O82</x:f>
        <x:v>166313.64881713927</x:v>
      </x:c>
      <x:c r="Q82" s="8" t="n">
        <x:f>P82-H82</x:f>
        <x:v>-47997.92118286074</x:v>
      </x:c>
      <x:c r="R82" s="8" t="n">
        <x:v>0</x:v>
      </x:c>
      <x:c r="S82" s="8" t="n">
        <x:f>R82*'Resumen'!$B$8</x:f>
        <x:v>0</x:v>
      </x:c>
      <x:c r="T82" s="8" t="n">
        <x:f>M82+S82</x:f>
        <x:v>166313.64881713927</x:v>
      </x:c>
      <x:c r="U82" s="8" t="n">
        <x:f>T82-H82</x:f>
        <x:v>-47997.92118286074</x:v>
      </x:c>
      <x:c r="V82" s="27" t="n">
        <x:v>0</x:v>
      </x:c>
    </x:row>
    <x:row r="83">
      <x:c r="A83" s="28" t="str">
        <x:v>207453</x:v>
      </x:c>
      <x:c r="B83" s="25" t="n">
        <x:v>24</x:v>
      </x:c>
      <x:c r="C83" s="25" t="n">
        <x:v>21811</x:v>
      </x:c>
      <x:c r="D83" s="25" t="n">
        <x:f>IF(B83=0,0,C83/B83)</x:f>
        <x:v>908.7916666666666</x:v>
      </x:c>
      <x:c r="E83" s="26" t="n">
        <x:f>IF(D83=0,0,D83/MAX($D$6:$D$337))</x:f>
        <x:v>0.6501984532570182</x:v>
      </x:c>
      <x:c r="F83" s="26" t="n">
        <x:f>IF(B83=0,0,B83/MAX($B$6:$B$337))</x:f>
        <x:v>0.8571428571428571</x:v>
      </x:c>
      <x:c r="G83" s="26" t="n">
        <x:f>'Resumen'!$B$9*E83+'Resumen'!$B$10*F83</x:f>
        <x:v>0.7122817744227699</x:v>
      </x:c>
      <x:c r="H83" s="8" t="n">
        <x:v>233312.96</x:v>
      </x:c>
      <x:c r="I83" s="8" t="n">
        <x:v>175316.69999999995</x:v>
      </x:c>
      <x:c r="J83" s="8" t="n">
        <x:f>MAX(H83-I83,0)</x:f>
        <x:v>57996.26000000004</x:v>
      </x:c>
      <x:c r="K83" s="8" t="n">
        <x:f>J83*G83</x:f>
        <x:v>41309.67898268434</x:v>
      </x:c>
      <x:c r="L83" s="8" t="n">
        <x:f>IFERROR('Resumen'!$B$14*K83/SUM($K$6:$K$337),0)</x:f>
        <x:v>29921.77920805458</x:v>
      </x:c>
      <x:c r="M83" s="8" t="n">
        <x:f>I83+L83</x:f>
        <x:v>205238.47920805454</x:v>
      </x:c>
      <x:c r="N83" s="8" t="n">
        <x:v>0</x:v>
      </x:c>
      <x:c r="O83" s="8" t="n">
        <x:f>N83*'Resumen'!$B$8</x:f>
        <x:v>0</x:v>
      </x:c>
      <x:c r="P83" s="8" t="n">
        <x:f>M83+O83</x:f>
        <x:v>205238.47920805454</x:v>
      </x:c>
      <x:c r="Q83" s="8" t="n">
        <x:f>P83-H83</x:f>
        <x:v>-28074.480791945447</x:v>
      </x:c>
      <x:c r="R83" s="8" t="n">
        <x:v>0</x:v>
      </x:c>
      <x:c r="S83" s="8" t="n">
        <x:f>R83*'Resumen'!$B$8</x:f>
        <x:v>0</x:v>
      </x:c>
      <x:c r="T83" s="8" t="n">
        <x:f>M83+S83</x:f>
        <x:v>205238.47920805454</x:v>
      </x:c>
      <x:c r="U83" s="8" t="n">
        <x:f>T83-H83</x:f>
        <x:v>-28074.480791945447</x:v>
      </x:c>
      <x:c r="V83" s="27" t="n">
        <x:v>0</x:v>
      </x:c>
    </x:row>
    <x:row r="84">
      <x:c r="A84" s="28" t="str">
        <x:v>207481</x:v>
      </x:c>
      <x:c r="B84" s="25" t="n">
        <x:v>26</x:v>
      </x:c>
      <x:c r="C84" s="25" t="n">
        <x:v>19082</x:v>
      </x:c>
      <x:c r="D84" s="25" t="n">
        <x:f>IF(B84=0,0,C84/B84)</x:f>
        <x:v>733.9230769230769</x:v>
      </x:c>
      <x:c r="E84" s="26" t="n">
        <x:f>IF(D84=0,0,D84/MAX($D$6:$D$337))</x:f>
        <x:v>0.5250880558525693</x:v>
      </x:c>
      <x:c r="F84" s="26" t="n">
        <x:f>IF(B84=0,0,B84/MAX($B$6:$B$337))</x:f>
        <x:v>0.9285714285714286</x:v>
      </x:c>
      <x:c r="G84" s="26" t="n">
        <x:f>'Resumen'!$B$9*E84+'Resumen'!$B$10*F84</x:f>
        <x:v>0.6461330676682271</x:v>
      </x:c>
      <x:c r="H84" s="8" t="n">
        <x:v>331868.7800000001</x:v>
      </x:c>
      <x:c r="I84" s="8" t="n">
        <x:v>143350.9</x:v>
      </x:c>
      <x:c r="J84" s="8" t="n">
        <x:f>MAX(H84-I84,0)</x:f>
        <x:v>188517.8800000001</x:v>
      </x:c>
      <x:c r="K84" s="8" t="n">
        <x:f>J84*G84</x:f>
        <x:v>121807.63611471077</x:v>
      </x:c>
      <x:c r="L84" s="8" t="n">
        <x:f>IFERROR('Resumen'!$B$14*K84/SUM($K$6:$K$337),0)</x:f>
        <x:v>88228.74646900961</x:v>
      </x:c>
      <x:c r="M84" s="8" t="n">
        <x:f>I84+L84</x:f>
        <x:v>231579.6464690096</x:v>
      </x:c>
      <x:c r="N84" s="8" t="n">
        <x:v>0</x:v>
      </x:c>
      <x:c r="O84" s="8" t="n">
        <x:f>N84*'Resumen'!$B$8</x:f>
        <x:v>0</x:v>
      </x:c>
      <x:c r="P84" s="8" t="n">
        <x:f>M84+O84</x:f>
        <x:v>231579.6464690096</x:v>
      </x:c>
      <x:c r="Q84" s="8" t="n">
        <x:f>P84-H84</x:f>
        <x:v>-100289.13353099048</x:v>
      </x:c>
      <x:c r="R84" s="8" t="n">
        <x:v>0</x:v>
      </x:c>
      <x:c r="S84" s="8" t="n">
        <x:f>R84*'Resumen'!$B$8</x:f>
        <x:v>0</x:v>
      </x:c>
      <x:c r="T84" s="8" t="n">
        <x:f>M84+S84</x:f>
        <x:v>231579.6464690096</x:v>
      </x:c>
      <x:c r="U84" s="8" t="n">
        <x:f>T84-H84</x:f>
        <x:v>-100289.13353099048</x:v>
      </x:c>
      <x:c r="V84" s="27" t="n">
        <x:v>0</x:v>
      </x:c>
    </x:row>
    <x:row r="85">
      <x:c r="A85" s="28" t="str">
        <x:v>207656</x:v>
      </x:c>
      <x:c r="B85" s="25" t="n">
        <x:v>24</x:v>
      </x:c>
      <x:c r="C85" s="25" t="n">
        <x:v>22299</x:v>
      </x:c>
      <x:c r="D85" s="25" t="n">
        <x:f>IF(B85=0,0,C85/B85)</x:f>
        <x:v>929.125</x:v>
      </x:c>
      <x:c r="E85" s="26" t="n">
        <x:f>IF(D85=0,0,D85/MAX($D$6:$D$337))</x:f>
        <x:v>0.6647460139002452</x:v>
      </x:c>
      <x:c r="F85" s="26" t="n">
        <x:f>IF(B85=0,0,B85/MAX($B$6:$B$337))</x:f>
        <x:v>0.8571428571428571</x:v>
      </x:c>
      <x:c r="G85" s="26" t="n">
        <x:f>'Resumen'!$B$9*E85+'Resumen'!$B$10*F85</x:f>
        <x:v>0.7224650668730288</x:v>
      </x:c>
      <x:c r="H85" s="8" t="n">
        <x:v>219098.12999999998</x:v>
      </x:c>
      <x:c r="I85" s="8" t="n">
        <x:v>159202.02000000002</x:v>
      </x:c>
      <x:c r="J85" s="8" t="n">
        <x:f>MAX(H85-I85,0)</x:f>
        <x:v>59896.10999999996</x:v>
      </x:c>
      <x:c r="K85" s="8" t="n">
        <x:f>J85*G85</x:f>
        <x:v>43272.84711658426</x:v>
      </x:c>
      <x:c r="L85" s="8" t="n">
        <x:f>IFERROR('Resumen'!$B$14*K85/SUM($K$6:$K$337),0)</x:f>
        <x:v>31343.757904027127</x:v>
      </x:c>
      <x:c r="M85" s="8" t="n">
        <x:f>I85+L85</x:f>
        <x:v>190545.77790402714</x:v>
      </x:c>
      <x:c r="N85" s="8" t="n">
        <x:v>0</x:v>
      </x:c>
      <x:c r="O85" s="8" t="n">
        <x:f>N85*'Resumen'!$B$8</x:f>
        <x:v>0</x:v>
      </x:c>
      <x:c r="P85" s="8" t="n">
        <x:f>M85+O85</x:f>
        <x:v>190545.77790402714</x:v>
      </x:c>
      <x:c r="Q85" s="8" t="n">
        <x:f>P85-H85</x:f>
        <x:v>-28552.352095972834</x:v>
      </x:c>
      <x:c r="R85" s="8" t="n">
        <x:v>0</x:v>
      </x:c>
      <x:c r="S85" s="8" t="n">
        <x:f>R85*'Resumen'!$B$8</x:f>
        <x:v>0</x:v>
      </x:c>
      <x:c r="T85" s="8" t="n">
        <x:f>M85+S85</x:f>
        <x:v>190545.77790402714</x:v>
      </x:c>
      <x:c r="U85" s="8" t="n">
        <x:f>T85-H85</x:f>
        <x:v>-28552.352095972834</x:v>
      </x:c>
      <x:c r="V85" s="27" t="n">
        <x:v>0</x:v>
      </x:c>
    </x:row>
    <x:row r="86">
      <x:c r="A86" s="28" t="str">
        <x:v>207657</x:v>
      </x:c>
      <x:c r="B86" s="25" t="n">
        <x:v>28</x:v>
      </x:c>
      <x:c r="C86" s="25" t="n">
        <x:v>34679</x:v>
      </x:c>
      <x:c r="D86" s="25" t="n">
        <x:f>IF(B86=0,0,C86/B86)</x:f>
        <x:v>1238.5357142857142</x:v>
      </x:c>
      <x:c r="E86" s="26" t="n">
        <x:f>IF(D86=0,0,D86/MAX($D$6:$D$337))</x:f>
        <x:v>0.8861150858544562</x:v>
      </x:c>
      <x:c r="F86" s="26" t="n">
        <x:f>IF(B86=0,0,B86/MAX($B$6:$B$337))</x:f>
        <x:v>1</x:v>
      </x:c>
      <x:c r="G86" s="26" t="n">
        <x:f>'Resumen'!$B$9*E86+'Resumen'!$B$10*F86</x:f>
        <x:v>0.9202805600981192</x:v>
      </x:c>
      <x:c r="H86" s="8" t="n">
        <x:v>713614.6399999999</x:v>
      </x:c>
      <x:c r="I86" s="8" t="n">
        <x:v>367067.91</x:v>
      </x:c>
      <x:c r="J86" s="8" t="n">
        <x:f>MAX(H86-I86,0)</x:f>
        <x:v>346546.7299999999</x:v>
      </x:c>
      <x:c r="K86" s="8" t="n">
        <x:f>J86*G86</x:f>
        <x:v>318920.2187845716</x:v>
      </x:c>
      <x:c r="L86" s="8" t="n">
        <x:f>IFERROR('Resumen'!$B$14*K86/SUM($K$6:$K$337),0)</x:f>
        <x:v>231003.0144619711</x:v>
      </x:c>
      <x:c r="M86" s="8" t="n">
        <x:f>I86+L86</x:f>
        <x:v>598070.924461971</x:v>
      </x:c>
      <x:c r="N86" s="8" t="n">
        <x:v>0</x:v>
      </x:c>
      <x:c r="O86" s="8" t="n">
        <x:f>N86*'Resumen'!$B$8</x:f>
        <x:v>0</x:v>
      </x:c>
      <x:c r="P86" s="8" t="n">
        <x:f>M86+O86</x:f>
        <x:v>598070.924461971</x:v>
      </x:c>
      <x:c r="Q86" s="8" t="n">
        <x:f>P86-H86</x:f>
        <x:v>-115543.71553802886</x:v>
      </x:c>
      <x:c r="R86" s="8" t="n">
        <x:v>0</x:v>
      </x:c>
      <x:c r="S86" s="8" t="n">
        <x:f>R86*'Resumen'!$B$8</x:f>
        <x:v>0</x:v>
      </x:c>
      <x:c r="T86" s="8" t="n">
        <x:f>M86+S86</x:f>
        <x:v>598070.924461971</x:v>
      </x:c>
      <x:c r="U86" s="8" t="n">
        <x:f>T86-H86</x:f>
        <x:v>-115543.71553802886</x:v>
      </x:c>
      <x:c r="V86" s="27" t="n">
        <x:v>0</x:v>
      </x:c>
    </x:row>
    <x:row r="87">
      <x:c r="A87" s="28" t="str">
        <x:v>207658</x:v>
      </x:c>
      <x:c r="B87" s="25" t="n">
        <x:v>27</x:v>
      </x:c>
      <x:c r="C87" s="25" t="n">
        <x:v>28495</x:v>
      </x:c>
      <x:c r="D87" s="25" t="n">
        <x:f>IF(B87=0,0,C87/B87)</x:f>
        <x:v>1055.3703703703704</x:v>
      </x:c>
      <x:c r="E87" s="26" t="n">
        <x:f>IF(D87=0,0,D87/MAX($D$6:$D$337))</x:f>
        <x:v>0.7550687441325218</x:v>
      </x:c>
      <x:c r="F87" s="26" t="n">
        <x:f>IF(B87=0,0,B87/MAX($B$6:$B$337))</x:f>
        <x:v>0.9642857142857143</x:v>
      </x:c>
      <x:c r="G87" s="26" t="n">
        <x:f>'Resumen'!$B$9*E87+'Resumen'!$B$10*F87</x:f>
        <x:v>0.8178338351784795</x:v>
      </x:c>
      <x:c r="H87" s="8" t="n">
        <x:v>395670.36000000004</x:v>
      </x:c>
      <x:c r="I87" s="8" t="n">
        <x:v>335912.15</x:v>
      </x:c>
      <x:c r="J87" s="8" t="n">
        <x:f>MAX(H87-I87,0)</x:f>
        <x:v>59758.21000000002</x:v>
      </x:c>
      <x:c r="K87" s="8" t="n">
        <x:f>J87*G87</x:f>
        <x:v>48872.28606770098</x:v>
      </x:c>
      <x:c r="L87" s="8" t="n">
        <x:f>IFERROR('Resumen'!$B$14*K87/SUM($K$6:$K$337),0)</x:f>
        <x:v>35399.5913094265</x:v>
      </x:c>
      <x:c r="M87" s="8" t="n">
        <x:f>I87+L87</x:f>
        <x:v>371311.7413094265</x:v>
      </x:c>
      <x:c r="N87" s="8" t="n">
        <x:v>0</x:v>
      </x:c>
      <x:c r="O87" s="8" t="n">
        <x:f>N87*'Resumen'!$B$8</x:f>
        <x:v>0</x:v>
      </x:c>
      <x:c r="P87" s="8" t="n">
        <x:f>M87+O87</x:f>
        <x:v>371311.7413094265</x:v>
      </x:c>
      <x:c r="Q87" s="8" t="n">
        <x:f>P87-H87</x:f>
        <x:v>-24358.618690573552</x:v>
      </x:c>
      <x:c r="R87" s="8" t="n">
        <x:v>0</x:v>
      </x:c>
      <x:c r="S87" s="8" t="n">
        <x:f>R87*'Resumen'!$B$8</x:f>
        <x:v>0</x:v>
      </x:c>
      <x:c r="T87" s="8" t="n">
        <x:f>M87+S87</x:f>
        <x:v>371311.7413094265</x:v>
      </x:c>
      <x:c r="U87" s="8" t="n">
        <x:f>T87-H87</x:f>
        <x:v>-24358.618690573552</x:v>
      </x:c>
      <x:c r="V87" s="27" t="n">
        <x:v>0</x:v>
      </x:c>
    </x:row>
    <x:row r="88">
      <x:c r="A88" s="28" t="str">
        <x:v>207659</x:v>
      </x:c>
      <x:c r="B88" s="25" t="n">
        <x:v>18</x:v>
      </x:c>
      <x:c r="C88" s="25" t="n">
        <x:v>15782</x:v>
      </x:c>
      <x:c r="D88" s="25" t="n">
        <x:f>IF(B88=0,0,C88/B88)</x:f>
        <x:v>876.7777777777778</x:v>
      </x:c>
      <x:c r="E88" s="26" t="n">
        <x:f>IF(D88=0,0,D88/MAX($D$6:$D$337))</x:f>
        <x:v>0.627293994730626</x:v>
      </x:c>
      <x:c r="F88" s="26" t="n">
        <x:f>IF(B88=0,0,B88/MAX($B$6:$B$337))</x:f>
        <x:v>0.6428571428571429</x:v>
      </x:c>
      <x:c r="G88" s="26" t="n">
        <x:f>'Resumen'!$B$9*E88+'Resumen'!$B$10*F88</x:f>
        <x:v>0.631962939168581</x:v>
      </x:c>
      <x:c r="H88" s="8" t="n">
        <x:v>124117.87</x:v>
      </x:c>
      <x:c r="I88" s="8" t="n">
        <x:v>109111.27999999998</x:v>
      </x:c>
      <x:c r="J88" s="8" t="n">
        <x:f>MAX(H88-I88,0)</x:f>
        <x:v>15006.590000000011</x:v>
      </x:c>
      <x:c r="K88" s="8" t="n">
        <x:f>J88*G88</x:f>
        <x:v>9483.608723297844</x:v>
      </x:c>
      <x:c r="L88" s="8" t="n">
        <x:f>IFERROR('Resumen'!$B$14*K88/SUM($K$6:$K$337),0)</x:f>
        <x:v>6869.248401398715</x:v>
      </x:c>
      <x:c r="M88" s="8" t="n">
        <x:f>I88+L88</x:f>
        <x:v>115980.5284013987</x:v>
      </x:c>
      <x:c r="N88" s="8" t="n">
        <x:v>0</x:v>
      </x:c>
      <x:c r="O88" s="8" t="n">
        <x:f>N88*'Resumen'!$B$8</x:f>
        <x:v>0</x:v>
      </x:c>
      <x:c r="P88" s="8" t="n">
        <x:f>M88+O88</x:f>
        <x:v>115980.5284013987</x:v>
      </x:c>
      <x:c r="Q88" s="8" t="n">
        <x:f>P88-H88</x:f>
        <x:v>-8137.341598601299</x:v>
      </x:c>
      <x:c r="R88" s="8" t="n">
        <x:v>0</x:v>
      </x:c>
      <x:c r="S88" s="8" t="n">
        <x:f>R88*'Resumen'!$B$8</x:f>
        <x:v>0</x:v>
      </x:c>
      <x:c r="T88" s="8" t="n">
        <x:f>M88+S88</x:f>
        <x:v>115980.5284013987</x:v>
      </x:c>
      <x:c r="U88" s="8" t="n">
        <x:f>T88-H88</x:f>
        <x:v>-8137.341598601299</x:v>
      </x:c>
      <x:c r="V88" s="27" t="n">
        <x:v>0</x:v>
      </x:c>
    </x:row>
    <x:row r="89">
      <x:c r="A89" s="28" t="str">
        <x:v>207660</x:v>
      </x:c>
      <x:c r="B89" s="25" t="n">
        <x:v>26</x:v>
      </x:c>
      <x:c r="C89" s="25" t="n">
        <x:v>29147</x:v>
      </x:c>
      <x:c r="D89" s="25" t="n">
        <x:f>IF(B89=0,0,C89/B89)</x:f>
        <x:v>1121.0384615384614</x:v>
      </x:c>
      <x:c r="E89" s="26" t="n">
        <x:f>IF(D89=0,0,D89/MAX($D$6:$D$337))</x:f>
        <x:v>0.802051229637084</x:v>
      </x:c>
      <x:c r="F89" s="26" t="n">
        <x:f>IF(B89=0,0,B89/MAX($B$6:$B$337))</x:f>
        <x:v>0.9285714285714286</x:v>
      </x:c>
      <x:c r="G89" s="26" t="n">
        <x:f>'Resumen'!$B$9*E89+'Resumen'!$B$10*F89</x:f>
        <x:v>0.8400072893173873</x:v>
      </x:c>
      <x:c r="H89" s="8" t="n">
        <x:v>427769.88</x:v>
      </x:c>
      <x:c r="I89" s="8" t="n">
        <x:v>299637.09</x:v>
      </x:c>
      <x:c r="J89" s="8" t="n">
        <x:f>MAX(H89-I89,0)</x:f>
        <x:v>128132.78999999998</x:v>
      </x:c>
      <x:c r="K89" s="8" t="n">
        <x:f>J89*G89</x:f>
        <x:v>107632.47760057401</x:v>
      </x:c>
      <x:c r="L89" s="8" t="n">
        <x:f>IFERROR('Resumen'!$B$14*K89/SUM($K$6:$K$337),0)</x:f>
        <x:v>77961.27468650161</x:v>
      </x:c>
      <x:c r="M89" s="8" t="n">
        <x:f>I89+L89</x:f>
        <x:v>377598.3646865016</x:v>
      </x:c>
      <x:c r="N89" s="8" t="n">
        <x:v>631858.79</x:v>
      </x:c>
      <x:c r="O89" s="8" t="n">
        <x:f>N89*'Resumen'!$B$8</x:f>
        <x:v>189557.63700000002</x:v>
      </x:c>
      <x:c r="P89" s="8" t="n">
        <x:f>M89+O89</x:f>
        <x:v>567156.0016865017</x:v>
      </x:c>
      <x:c r="Q89" s="8" t="n">
        <x:f>P89-H89</x:f>
        <x:v>139386.12168650166</x:v>
      </x:c>
      <x:c r="R89" s="8" t="n">
        <x:v>658222.07</x:v>
      </x:c>
      <x:c r="S89" s="8" t="n">
        <x:f>R89*'Resumen'!$B$8</x:f>
        <x:v>197466.62099999998</x:v>
      </x:c>
      <x:c r="T89" s="8" t="n">
        <x:f>M89+S89</x:f>
        <x:v>575064.9856865016</x:v>
      </x:c>
      <x:c r="U89" s="8" t="n">
        <x:f>T89-H89</x:f>
        <x:v>147295.1056865016</x:v>
      </x:c>
      <x:c r="V89" s="27" t="n">
        <x:v>19</x:v>
      </x:c>
    </x:row>
    <x:row r="90">
      <x:c r="A90" s="28" t="str">
        <x:v>207662</x:v>
      </x:c>
      <x:c r="B90" s="25" t="n">
        <x:v>26</x:v>
      </x:c>
      <x:c r="C90" s="25" t="n">
        <x:v>27408</x:v>
      </x:c>
      <x:c r="D90" s="25" t="n">
        <x:f>IF(B90=0,0,C90/B90)</x:f>
        <x:v>1054.1538461538462</x:v>
      </x:c>
      <x:c r="E90" s="26" t="n">
        <x:f>IF(D90=0,0,D90/MAX($D$6:$D$337))</x:f>
        <x:v>0.7541983772564312</x:v>
      </x:c>
      <x:c r="F90" s="26" t="n">
        <x:f>IF(B90=0,0,B90/MAX($B$6:$B$337))</x:f>
        <x:v>0.9285714285714286</x:v>
      </x:c>
      <x:c r="G90" s="26" t="n">
        <x:f>'Resumen'!$B$9*E90+'Resumen'!$B$10*F90</x:f>
        <x:v>0.8065102926509304</x:v>
      </x:c>
      <x:c r="H90" s="8" t="n">
        <x:v>369324.4099999999</x:v>
      </x:c>
      <x:c r="I90" s="8" t="n">
        <x:v>340275.82</x:v>
      </x:c>
      <x:c r="J90" s="8" t="n">
        <x:f>MAX(H90-I90,0)</x:f>
        <x:v>29048.58999999991</x:v>
      </x:c>
      <x:c r="K90" s="8" t="n">
        <x:f>J90*G90</x:f>
        <x:v>23427.98682199682</x:v>
      </x:c>
      <x:c r="L90" s="8" t="n">
        <x:f>IFERROR('Resumen'!$B$14*K90/SUM($K$6:$K$337),0)</x:f>
        <x:v>16969.559343969737</x:v>
      </x:c>
      <x:c r="M90" s="8" t="n">
        <x:f>I90+L90</x:f>
        <x:v>357245.37934396975</x:v>
      </x:c>
      <x:c r="N90" s="8" t="n">
        <x:v>0</x:v>
      </x:c>
      <x:c r="O90" s="8" t="n">
        <x:f>N90*'Resumen'!$B$8</x:f>
        <x:v>0</x:v>
      </x:c>
      <x:c r="P90" s="8" t="n">
        <x:f>M90+O90</x:f>
        <x:v>357245.37934396975</x:v>
      </x:c>
      <x:c r="Q90" s="8" t="n">
        <x:f>P90-H90</x:f>
        <x:v>-12079.030656030169</x:v>
      </x:c>
      <x:c r="R90" s="8" t="n">
        <x:v>0</x:v>
      </x:c>
      <x:c r="S90" s="8" t="n">
        <x:f>R90*'Resumen'!$B$8</x:f>
        <x:v>0</x:v>
      </x:c>
      <x:c r="T90" s="8" t="n">
        <x:f>M90+S90</x:f>
        <x:v>357245.37934396975</x:v>
      </x:c>
      <x:c r="U90" s="8" t="n">
        <x:f>T90-H90</x:f>
        <x:v>-12079.030656030169</x:v>
      </x:c>
      <x:c r="V90" s="27" t="n">
        <x:v>0</x:v>
      </x:c>
    </x:row>
    <x:row r="91">
      <x:c r="A91" s="28" t="str">
        <x:v>207680</x:v>
      </x:c>
      <x:c r="B91" s="25" t="n">
        <x:v>27</x:v>
      </x:c>
      <x:c r="C91" s="25" t="n">
        <x:v>30754</x:v>
      </x:c>
      <x:c r="D91" s="25" t="n">
        <x:f>IF(B91=0,0,C91/B91)</x:f>
        <x:v>1139.037037037037</x:v>
      </x:c>
      <x:c r="E91" s="26" t="n">
        <x:f>IF(D91=0,0,D91/MAX($D$6:$D$337))</x:f>
        <x:v>0.8149283789103903</x:v>
      </x:c>
      <x:c r="F91" s="26" t="n">
        <x:f>IF(B91=0,0,B91/MAX($B$6:$B$337))</x:f>
        <x:v>0.9642857142857143</x:v>
      </x:c>
      <x:c r="G91" s="26" t="n">
        <x:f>'Resumen'!$B$9*E91+'Resumen'!$B$10*F91</x:f>
        <x:v>0.8597355795229874</x:v>
      </x:c>
      <x:c r="H91" s="8" t="n">
        <x:v>525314.67</x:v>
      </x:c>
      <x:c r="I91" s="8" t="n">
        <x:v>354184.6800000001</x:v>
      </x:c>
      <x:c r="J91" s="8" t="n">
        <x:f>MAX(H91-I91,0)</x:f>
        <x:v>171129.98999999993</x:v>
      </x:c>
      <x:c r="K91" s="8" t="n">
        <x:f>J91*G91</x:f>
        <x:v>147126.54112641298</x:v>
      </x:c>
      <x:c r="L91" s="8" t="n">
        <x:f>IFERROR('Resumen'!$B$14*K91/SUM($K$6:$K$337),0)</x:f>
        <x:v>106567.95181280847</x:v>
      </x:c>
      <x:c r="M91" s="8" t="n">
        <x:f>I91+L91</x:f>
        <x:v>460752.63181280857</x:v>
      </x:c>
      <x:c r="N91" s="8" t="n">
        <x:v>677149.0399999999</x:v>
      </x:c>
      <x:c r="O91" s="8" t="n">
        <x:f>N91*'Resumen'!$B$8</x:f>
        <x:v>203144.71199999997</x:v>
      </x:c>
      <x:c r="P91" s="8" t="n">
        <x:f>M91+O91</x:f>
        <x:v>663897.3438128085</x:v>
      </x:c>
      <x:c r="Q91" s="8" t="n">
        <x:f>P91-H91</x:f>
        <x:v>138582.67381280847</x:v>
      </x:c>
      <x:c r="R91" s="8" t="n">
        <x:v>666870.76</x:v>
      </x:c>
      <x:c r="S91" s="8" t="n">
        <x:f>R91*'Resumen'!$B$8</x:f>
        <x:v>200061.228</x:v>
      </x:c>
      <x:c r="T91" s="8" t="n">
        <x:f>M91+S91</x:f>
        <x:v>660813.8598128086</x:v>
      </x:c>
      <x:c r="U91" s="8" t="n">
        <x:f>T91-H91</x:f>
        <x:v>135499.18981280853</x:v>
      </x:c>
      <x:c r="V91" s="27" t="n">
        <x:v>19</x:v>
      </x:c>
    </x:row>
    <x:row r="92">
      <x:c r="A92" s="28" t="str">
        <x:v>207681</x:v>
      </x:c>
      <x:c r="B92" s="25" t="n">
        <x:v>20</x:v>
      </x:c>
      <x:c r="C92" s="25" t="n">
        <x:v>17470</x:v>
      </x:c>
      <x:c r="D92" s="25" t="n">
        <x:f>IF(B92=0,0,C92/B92)</x:f>
        <x:v>873.5</x:v>
      </x:c>
      <x:c r="E92" s="26" t="n">
        <x:f>IF(D92=0,0,D92/MAX($D$6:$D$337))</x:f>
        <x:v>0.624948896156991</x:v>
      </x:c>
      <x:c r="F92" s="26" t="n">
        <x:f>IF(B92=0,0,B92/MAX($B$6:$B$337))</x:f>
        <x:v>0.7142857142857143</x:v>
      </x:c>
      <x:c r="G92" s="26" t="n">
        <x:f>'Resumen'!$B$9*E92+'Resumen'!$B$10*F92</x:f>
        <x:v>0.651749941595608</x:v>
      </x:c>
      <x:c r="H92" s="8" t="n">
        <x:v>150618.50999999998</x:v>
      </x:c>
      <x:c r="I92" s="8" t="n">
        <x:v>128758.79000000001</x:v>
      </x:c>
      <x:c r="J92" s="8" t="n">
        <x:f>MAX(H92-I92,0)</x:f>
        <x:v>21859.719999999972</x:v>
      </x:c>
      <x:c r="K92" s="8" t="n">
        <x:f>J92*G92</x:f>
        <x:v>14247.071233296325</x:v>
      </x:c>
      <x:c r="L92" s="8" t="n">
        <x:f>IFERROR('Resumen'!$B$14*K92/SUM($K$6:$K$337),0)</x:f>
        <x:v>10319.56021693629</x:v>
      </x:c>
      <x:c r="M92" s="8" t="n">
        <x:f>I92+L92</x:f>
        <x:v>139078.3502169363</x:v>
      </x:c>
      <x:c r="N92" s="8" t="n">
        <x:v>0</x:v>
      </x:c>
      <x:c r="O92" s="8" t="n">
        <x:f>N92*'Resumen'!$B$8</x:f>
        <x:v>0</x:v>
      </x:c>
      <x:c r="P92" s="8" t="n">
        <x:f>M92+O92</x:f>
        <x:v>139078.3502169363</x:v>
      </x:c>
      <x:c r="Q92" s="8" t="n">
        <x:f>P92-H92</x:f>
        <x:v>-11540.15978306369</x:v>
      </x:c>
      <x:c r="R92" s="8" t="n">
        <x:v>0</x:v>
      </x:c>
      <x:c r="S92" s="8" t="n">
        <x:f>R92*'Resumen'!$B$8</x:f>
        <x:v>0</x:v>
      </x:c>
      <x:c r="T92" s="8" t="n">
        <x:f>M92+S92</x:f>
        <x:v>139078.3502169363</x:v>
      </x:c>
      <x:c r="U92" s="8" t="n">
        <x:f>T92-H92</x:f>
        <x:v>-11540.15978306369</x:v>
      </x:c>
      <x:c r="V92" s="27" t="n">
        <x:v>0</x:v>
      </x:c>
    </x:row>
    <x:row r="93">
      <x:c r="A93" s="28" t="str">
        <x:v>207683</x:v>
      </x:c>
      <x:c r="B93" s="25" t="n">
        <x:v>23</x:v>
      </x:c>
      <x:c r="C93" s="25" t="n">
        <x:v>22778</x:v>
      </x:c>
      <x:c r="D93" s="25" t="n">
        <x:f>IF(B93=0,0,C93/B93)</x:f>
        <x:v>990.3478260869565</x:v>
      </x:c>
      <x:c r="E93" s="26" t="n">
        <x:f>IF(D93=0,0,D93/MAX($D$6:$D$337))</x:f>
        <x:v>0.7085481176010523</x:v>
      </x:c>
      <x:c r="F93" s="26" t="n">
        <x:f>IF(B93=0,0,B93/MAX($B$6:$B$337))</x:f>
        <x:v>0.8214285714285714</x:v>
      </x:c>
      <x:c r="G93" s="26" t="n">
        <x:f>'Resumen'!$B$9*E93+'Resumen'!$B$10*F93</x:f>
        <x:v>0.742412253749308</x:v>
      </x:c>
      <x:c r="H93" s="8" t="n">
        <x:v>241328.11999999994</x:v>
      </x:c>
      <x:c r="I93" s="8" t="n">
        <x:v>178195.09999999998</x:v>
      </x:c>
      <x:c r="J93" s="8" t="n">
        <x:f>MAX(H93-I93,0)</x:f>
        <x:v>63133.01999999996</x:v>
      </x:c>
      <x:c r="K93" s="8" t="n">
        <x:f>J93*G93</x:f>
        <x:v>46870.72766420011</x:v>
      </x:c>
      <x:c r="L93" s="8" t="n">
        <x:f>IFERROR('Resumen'!$B$14*K93/SUM($K$6:$K$337),0)</x:f>
        <x:v>33949.80544576284</x:v>
      </x:c>
      <x:c r="M93" s="8" t="n">
        <x:f>I93+L93</x:f>
        <x:v>212144.90544576282</x:v>
      </x:c>
      <x:c r="N93" s="8" t="n">
        <x:v>0</x:v>
      </x:c>
      <x:c r="O93" s="8" t="n">
        <x:f>N93*'Resumen'!$B$8</x:f>
        <x:v>0</x:v>
      </x:c>
      <x:c r="P93" s="8" t="n">
        <x:f>M93+O93</x:f>
        <x:v>212144.90544576282</x:v>
      </x:c>
      <x:c r="Q93" s="8" t="n">
        <x:f>P93-H93</x:f>
        <x:v>-29183.214554237114</x:v>
      </x:c>
      <x:c r="R93" s="8" t="n">
        <x:v>0</x:v>
      </x:c>
      <x:c r="S93" s="8" t="n">
        <x:f>R93*'Resumen'!$B$8</x:f>
        <x:v>0</x:v>
      </x:c>
      <x:c r="T93" s="8" t="n">
        <x:f>M93+S93</x:f>
        <x:v>212144.90544576282</x:v>
      </x:c>
      <x:c r="U93" s="8" t="n">
        <x:f>T93-H93</x:f>
        <x:v>-29183.214554237114</x:v>
      </x:c>
      <x:c r="V93" s="27" t="n">
        <x:v>0</x:v>
      </x:c>
    </x:row>
    <x:row r="94">
      <x:c r="A94" s="28" t="str">
        <x:v>207684</x:v>
      </x:c>
      <x:c r="B94" s="25" t="n">
        <x:v>25</x:v>
      </x:c>
      <x:c r="C94" s="25" t="n">
        <x:v>23074</x:v>
      </x:c>
      <x:c r="D94" s="25" t="n">
        <x:f>IF(B94=0,0,C94/B94)</x:f>
        <x:v>922.96</x:v>
      </x:c>
      <x:c r="E94" s="26" t="n">
        <x:f>IF(D94=0,0,D94/MAX($D$6:$D$337))</x:f>
        <x:v>0.660335241210139</x:v>
      </x:c>
      <x:c r="F94" s="26" t="n">
        <x:f>IF(B94=0,0,B94/MAX($B$6:$B$337))</x:f>
        <x:v>0.8928571428571429</x:v>
      </x:c>
      <x:c r="G94" s="26" t="n">
        <x:f>'Resumen'!$B$9*E94+'Resumen'!$B$10*F94</x:f>
        <x:v>0.7300918117042401</x:v>
      </x:c>
      <x:c r="H94" s="8" t="n">
        <x:v>206746.43999999994</x:v>
      </x:c>
      <x:c r="I94" s="8" t="n">
        <x:v>151703.12999999998</x:v>
      </x:c>
      <x:c r="J94" s="8" t="n">
        <x:f>MAX(H94-I94,0)</x:f>
        <x:v>55043.30999999997</x:v>
      </x:c>
      <x:c r="K94" s="8" t="n">
        <x:f>J94*G94</x:f>
        <x:v>40186.669920098095</x:v>
      </x:c>
      <x:c r="L94" s="8" t="n">
        <x:f>IFERROR('Resumen'!$B$14*K94/SUM($K$6:$K$337),0)</x:f>
        <x:v>29108.351700340594</x:v>
      </x:c>
      <x:c r="M94" s="8" t="n">
        <x:f>I94+L94</x:f>
        <x:v>180811.48170034058</x:v>
      </x:c>
      <x:c r="N94" s="8" t="n">
        <x:v>0</x:v>
      </x:c>
      <x:c r="O94" s="8" t="n">
        <x:f>N94*'Resumen'!$B$8</x:f>
        <x:v>0</x:v>
      </x:c>
      <x:c r="P94" s="8" t="n">
        <x:f>M94+O94</x:f>
        <x:v>180811.48170034058</x:v>
      </x:c>
      <x:c r="Q94" s="8" t="n">
        <x:f>P94-H94</x:f>
        <x:v>-25934.958299659367</x:v>
      </x:c>
      <x:c r="R94" s="8" t="n">
        <x:v>0</x:v>
      </x:c>
      <x:c r="S94" s="8" t="n">
        <x:f>R94*'Resumen'!$B$8</x:f>
        <x:v>0</x:v>
      </x:c>
      <x:c r="T94" s="8" t="n">
        <x:f>M94+S94</x:f>
        <x:v>180811.48170034058</x:v>
      </x:c>
      <x:c r="U94" s="8" t="n">
        <x:f>T94-H94</x:f>
        <x:v>-25934.958299659367</x:v>
      </x:c>
      <x:c r="V94" s="27" t="n">
        <x:v>0</x:v>
      </x:c>
    </x:row>
    <x:row r="95">
      <x:c r="A95" s="28" t="str">
        <x:v>207686</x:v>
      </x:c>
      <x:c r="B95" s="25" t="n">
        <x:v>24</x:v>
      </x:c>
      <x:c r="C95" s="25" t="n">
        <x:v>25679</x:v>
      </x:c>
      <x:c r="D95" s="25" t="n">
        <x:f>IF(B95=0,0,C95/B95)</x:f>
        <x:v>1069.9583333333333</x:v>
      </x:c>
      <x:c r="E95" s="26" t="n">
        <x:f>IF(D95=0,0,D95/MAX($D$6:$D$337))</x:f>
        <x:v>0.7655057576996456</x:v>
      </x:c>
      <x:c r="F95" s="26" t="n">
        <x:f>IF(B95=0,0,B95/MAX($B$6:$B$337))</x:f>
        <x:v>0.8571428571428571</x:v>
      </x:c>
      <x:c r="G95" s="26" t="n">
        <x:f>'Resumen'!$B$9*E95+'Resumen'!$B$10*F95</x:f>
        <x:v>0.792996887532609</x:v>
      </x:c>
      <x:c r="H95" s="8" t="n">
        <x:v>302299.43999999994</x:v>
      </x:c>
      <x:c r="I95" s="8" t="n">
        <x:v>273598.98</x:v>
      </x:c>
      <x:c r="J95" s="8" t="n">
        <x:f>MAX(H95-I95,0)</x:f>
        <x:v>28700.459999999963</x:v>
      </x:c>
      <x:c r="K95" s="8" t="n">
        <x:f>J95*G95</x:f>
        <x:v>22759.375450754113</x:v>
      </x:c>
      <x:c r="L95" s="8" t="n">
        <x:f>IFERROR('Resumen'!$B$14*K95/SUM($K$6:$K$337),0)</x:f>
        <x:v>16485.265049775273</x:v>
      </x:c>
      <x:c r="M95" s="8" t="n">
        <x:f>I95+L95</x:f>
        <x:v>290084.2450497752</x:v>
      </x:c>
      <x:c r="N95" s="8" t="n">
        <x:v>0</x:v>
      </x:c>
      <x:c r="O95" s="8" t="n">
        <x:f>N95*'Resumen'!$B$8</x:f>
        <x:v>0</x:v>
      </x:c>
      <x:c r="P95" s="8" t="n">
        <x:f>M95+O95</x:f>
        <x:v>290084.2450497752</x:v>
      </x:c>
      <x:c r="Q95" s="8" t="n">
        <x:f>P95-H95</x:f>
        <x:v>-12215.194950224715</x:v>
      </x:c>
      <x:c r="R95" s="8" t="n">
        <x:v>0</x:v>
      </x:c>
      <x:c r="S95" s="8" t="n">
        <x:f>R95*'Resumen'!$B$8</x:f>
        <x:v>0</x:v>
      </x:c>
      <x:c r="T95" s="8" t="n">
        <x:f>M95+S95</x:f>
        <x:v>290084.2450497752</x:v>
      </x:c>
      <x:c r="U95" s="8" t="n">
        <x:f>T95-H95</x:f>
        <x:v>-12215.194950224715</x:v>
      </x:c>
      <x:c r="V95" s="27" t="n">
        <x:v>0</x:v>
      </x:c>
    </x:row>
    <x:row r="96">
      <x:c r="A96" s="28" t="str">
        <x:v>207687</x:v>
      </x:c>
      <x:c r="B96" s="25" t="n">
        <x:v>23</x:v>
      </x:c>
      <x:c r="C96" s="25" t="n">
        <x:v>23367</x:v>
      </x:c>
      <x:c r="D96" s="25" t="n">
        <x:f>IF(B96=0,0,C96/B96)</x:f>
        <x:v>1015.9565217391304</x:v>
      </x:c>
      <x:c r="E96" s="26" t="n">
        <x:f>IF(D96=0,0,D96/MAX($D$6:$D$337))</x:f>
        <x:v>0.7268699562728855</x:v>
      </x:c>
      <x:c r="F96" s="26" t="n">
        <x:f>IF(B96=0,0,B96/MAX($B$6:$B$337))</x:f>
        <x:v>0.8214285714285714</x:v>
      </x:c>
      <x:c r="G96" s="26" t="n">
        <x:f>'Resumen'!$B$9*E96+'Resumen'!$B$10*F96</x:f>
        <x:v>0.7552375408195913</x:v>
      </x:c>
      <x:c r="H96" s="8" t="n">
        <x:v>252287.75000000003</x:v>
      </x:c>
      <x:c r="I96" s="8" t="n">
        <x:v>170175.66</x:v>
      </x:c>
      <x:c r="J96" s="8" t="n">
        <x:f>MAX(H96-I96,0)</x:f>
        <x:v>82112.09000000003</x:v>
      </x:c>
      <x:c r="K96" s="8" t="n">
        <x:f>J96*G96</x:f>
        <x:v>62014.13292315697</x:v>
      </x:c>
      <x:c r="L96" s="8" t="n">
        <x:f>IFERROR('Resumen'!$B$14*K96/SUM($K$6:$K$337),0)</x:f>
        <x:v>44918.60597327437</x:v>
      </x:c>
      <x:c r="M96" s="8" t="n">
        <x:f>I96+L96</x:f>
        <x:v>215094.26597327436</x:v>
      </x:c>
      <x:c r="N96" s="8" t="n">
        <x:v>0</x:v>
      </x:c>
      <x:c r="O96" s="8" t="n">
        <x:f>N96*'Resumen'!$B$8</x:f>
        <x:v>0</x:v>
      </x:c>
      <x:c r="P96" s="8" t="n">
        <x:f>M96+O96</x:f>
        <x:v>215094.26597327436</x:v>
      </x:c>
      <x:c r="Q96" s="8" t="n">
        <x:f>P96-H96</x:f>
        <x:v>-37193.484026725666</x:v>
      </x:c>
      <x:c r="R96" s="8" t="n">
        <x:v>0</x:v>
      </x:c>
      <x:c r="S96" s="8" t="n">
        <x:f>R96*'Resumen'!$B$8</x:f>
        <x:v>0</x:v>
      </x:c>
      <x:c r="T96" s="8" t="n">
        <x:f>M96+S96</x:f>
        <x:v>215094.26597327436</x:v>
      </x:c>
      <x:c r="U96" s="8" t="n">
        <x:f>T96-H96</x:f>
        <x:v>-37193.484026725666</x:v>
      </x:c>
      <x:c r="V96" s="27" t="n">
        <x:v>0</x:v>
      </x:c>
    </x:row>
    <x:row r="97">
      <x:c r="A97" s="28" t="str">
        <x:v>207710</x:v>
      </x:c>
      <x:c r="B97" s="25" t="n">
        <x:v>27</x:v>
      </x:c>
      <x:c r="C97" s="25" t="n">
        <x:v>36583</x:v>
      </x:c>
      <x:c r="D97" s="25" t="n">
        <x:f>IF(B97=0,0,C97/B97)</x:f>
        <x:v>1354.9259259259259</x:v>
      </x:c>
      <x:c r="E97" s="26" t="n">
        <x:f>IF(D97=0,0,D97/MAX($D$6:$D$337))</x:f>
        <x:v>0.9693869053026861</x:v>
      </x:c>
      <x:c r="F97" s="26" t="n">
        <x:f>IF(B97=0,0,B97/MAX($B$6:$B$337))</x:f>
        <x:v>0.9642857142857143</x:v>
      </x:c>
      <x:c r="G97" s="26" t="n">
        <x:f>'Resumen'!$B$9*E97+'Resumen'!$B$10*F97</x:f>
        <x:v>0.9678565479975945</x:v>
      </x:c>
      <x:c r="H97" s="8" t="n">
        <x:v>826007.47</x:v>
      </x:c>
      <x:c r="I97" s="8" t="n">
        <x:v>462844.22</x:v>
      </x:c>
      <x:c r="J97" s="8" t="n">
        <x:f>MAX(H97-I97,0)</x:f>
        <x:v>363163.25</x:v>
      </x:c>
      <x:c r="K97" s="8" t="n">
        <x:f>J97*G97</x:f>
        <x:v>351489.9295045874</x:v>
      </x:c>
      <x:c r="L97" s="8" t="n">
        <x:f>IFERROR('Resumen'!$B$14*K97/SUM($K$6:$K$337),0)</x:f>
        <x:v>254594.18527312693</x:v>
      </x:c>
      <x:c r="M97" s="8" t="n">
        <x:f>I97+L97</x:f>
        <x:v>717438.4052731269</x:v>
      </x:c>
      <x:c r="N97" s="8" t="n">
        <x:v>0</x:v>
      </x:c>
      <x:c r="O97" s="8" t="n">
        <x:f>N97*'Resumen'!$B$8</x:f>
        <x:v>0</x:v>
      </x:c>
      <x:c r="P97" s="8" t="n">
        <x:f>M97+O97</x:f>
        <x:v>717438.4052731269</x:v>
      </x:c>
      <x:c r="Q97" s="8" t="n">
        <x:f>P97-H97</x:f>
        <x:v>-108569.06472687307</x:v>
      </x:c>
      <x:c r="R97" s="8" t="n">
        <x:v>0</x:v>
      </x:c>
      <x:c r="S97" s="8" t="n">
        <x:f>R97*'Resumen'!$B$8</x:f>
        <x:v>0</x:v>
      </x:c>
      <x:c r="T97" s="8" t="n">
        <x:f>M97+S97</x:f>
        <x:v>717438.4052731269</x:v>
      </x:c>
      <x:c r="U97" s="8" t="n">
        <x:f>T97-H97</x:f>
        <x:v>-108569.06472687307</x:v>
      </x:c>
      <x:c r="V97" s="27" t="n">
        <x:v>0</x:v>
      </x:c>
    </x:row>
    <x:row r="98">
      <x:c r="A98" s="28" t="str">
        <x:v>207712</x:v>
      </x:c>
      <x:c r="B98" s="25" t="n">
        <x:v>27</x:v>
      </x:c>
      <x:c r="C98" s="25" t="n">
        <x:v>27298</x:v>
      </x:c>
      <x:c r="D98" s="25" t="n">
        <x:f>IF(B98=0,0,C98/B98)</x:f>
        <x:v>1011.0370370370371</x:v>
      </x:c>
      <x:c r="E98" s="26" t="n">
        <x:f>IF(D98=0,0,D98/MAX($D$6:$D$337))</x:f>
        <x:v>0.7233502922382726</x:v>
      </x:c>
      <x:c r="F98" s="26" t="n">
        <x:f>IF(B98=0,0,B98/MAX($B$6:$B$337))</x:f>
        <x:v>0.9642857142857143</x:v>
      </x:c>
      <x:c r="G98" s="26" t="n">
        <x:f>'Resumen'!$B$9*E98+'Resumen'!$B$10*F98</x:f>
        <x:v>0.795630918852505</x:v>
      </x:c>
      <x:c r="H98" s="8" t="n">
        <x:v>280665.42000000004</x:v>
      </x:c>
      <x:c r="I98" s="8" t="n">
        <x:v>266674.41</x:v>
      </x:c>
      <x:c r="J98" s="8" t="n">
        <x:f>MAX(H98-I98,0)</x:f>
        <x:v>13991.010000000068</x:v>
      </x:c>
      <x:c r="K98" s="8" t="n">
        <x:f>J98*G98</x:f>
        <x:v>11131.68014197464</x:v>
      </x:c>
      <x:c r="L98" s="8" t="n">
        <x:f>IFERROR('Resumen'!$B$14*K98/SUM($K$6:$K$337),0)</x:f>
        <x:v>8062.993555637819</x:v>
      </x:c>
      <x:c r="M98" s="8" t="n">
        <x:f>I98+L98</x:f>
        <x:v>274737.4035556378</x:v>
      </x:c>
      <x:c r="N98" s="8" t="n">
        <x:v>592718.4400000001</x:v>
      </x:c>
      <x:c r="O98" s="8" t="n">
        <x:f>N98*'Resumen'!$B$8</x:f>
        <x:v>177815.532</x:v>
      </x:c>
      <x:c r="P98" s="8" t="n">
        <x:f>M98+O98</x:f>
        <x:v>452552.9355556378</x:v>
      </x:c>
      <x:c r="Q98" s="8" t="n">
        <x:f>P98-H98</x:f>
        <x:v>171887.51555563777</x:v>
      </x:c>
      <x:c r="R98" s="8" t="n">
        <x:v>649647.32</x:v>
      </x:c>
      <x:c r="S98" s="8" t="n">
        <x:f>R98*'Resumen'!$B$8</x:f>
        <x:v>194894.19599999997</x:v>
      </x:c>
      <x:c r="T98" s="8" t="n">
        <x:f>M98+S98</x:f>
        <x:v>469631.5995556378</x:v>
      </x:c>
      <x:c r="U98" s="8" t="n">
        <x:f>T98-H98</x:f>
        <x:v>188966.17955563776</x:v>
      </x:c>
      <x:c r="V98" s="27" t="n">
        <x:v>19</x:v>
      </x:c>
    </x:row>
    <x:row r="99">
      <x:c r="A99" s="28" t="str">
        <x:v>207731</x:v>
      </x:c>
      <x:c r="B99" s="25" t="n">
        <x:v>27</x:v>
      </x:c>
      <x:c r="C99" s="25" t="n">
        <x:v>33261</x:v>
      </x:c>
      <x:c r="D99" s="25" t="n">
        <x:f>IF(B99=0,0,C99/B99)</x:f>
        <x:v>1231.888888888889</x:v>
      </x:c>
      <x:c r="E99" s="26" t="n">
        <x:f>IF(D99=0,0,D99/MAX($D$6:$D$337))</x:f>
        <x:v>0.8813595893522304</x:v>
      </x:c>
      <x:c r="F99" s="26" t="n">
        <x:f>IF(B99=0,0,B99/MAX($B$6:$B$337))</x:f>
        <x:v>0.9642857142857143</x:v>
      </x:c>
      <x:c r="G99" s="26" t="n">
        <x:f>'Resumen'!$B$9*E99+'Resumen'!$B$10*F99</x:f>
        <x:v>0.9062374268322755</x:v>
      </x:c>
      <x:c r="H99" s="8" t="n">
        <x:v>628230.1599999998</x:v>
      </x:c>
      <x:c r="I99" s="8" t="n">
        <x:v>400963.75999999995</x:v>
      </x:c>
      <x:c r="J99" s="8" t="n">
        <x:f>MAX(H99-I99,0)</x:f>
        <x:v>227266.39999999985</x:v>
      </x:c>
      <x:c r="K99" s="8" t="n">
        <x:f>J99*G99</x:f>
        <x:v>205957.31754143452</x:v>
      </x:c>
      <x:c r="L99" s="8" t="n">
        <x:f>IFERROR('Resumen'!$B$14*K99/SUM($K$6:$K$337),0)</x:f>
        <x:v>149180.76183407655</x:v>
      </x:c>
      <x:c r="M99" s="8" t="n">
        <x:f>I99+L99</x:f>
        <x:v>550144.5218340765</x:v>
      </x:c>
      <x:c r="N99" s="8" t="n">
        <x:v>0</x:v>
      </x:c>
      <x:c r="O99" s="8" t="n">
        <x:f>N99*'Resumen'!$B$8</x:f>
        <x:v>0</x:v>
      </x:c>
      <x:c r="P99" s="8" t="n">
        <x:f>M99+O99</x:f>
        <x:v>550144.5218340765</x:v>
      </x:c>
      <x:c r="Q99" s="8" t="n">
        <x:f>P99-H99</x:f>
        <x:v>-78085.6381659233</x:v>
      </x:c>
      <x:c r="R99" s="8" t="n">
        <x:v>0</x:v>
      </x:c>
      <x:c r="S99" s="8" t="n">
        <x:f>R99*'Resumen'!$B$8</x:f>
        <x:v>0</x:v>
      </x:c>
      <x:c r="T99" s="8" t="n">
        <x:f>M99+S99</x:f>
        <x:v>550144.5218340765</x:v>
      </x:c>
      <x:c r="U99" s="8" t="n">
        <x:f>T99-H99</x:f>
        <x:v>-78085.6381659233</x:v>
      </x:c>
      <x:c r="V99" s="27" t="n">
        <x:v>0</x:v>
      </x:c>
    </x:row>
    <x:row r="100">
      <x:c r="A100" s="28" t="str">
        <x:v>207735</x:v>
      </x:c>
      <x:c r="B100" s="25" t="n">
        <x:v>28</x:v>
      </x:c>
      <x:c r="C100" s="25" t="n">
        <x:v>32709</x:v>
      </x:c>
      <x:c r="D100" s="25" t="n">
        <x:f>IF(B100=0,0,C100/B100)</x:f>
        <x:v>1168.1785714285713</x:v>
      </x:c>
      <x:c r="E100" s="26" t="n">
        <x:f>IF(D100=0,0,D100/MAX($D$6:$D$337))</x:f>
        <x:v>0.8357778004905968</x:v>
      </x:c>
      <x:c r="F100" s="26" t="n">
        <x:f>IF(B100=0,0,B100/MAX($B$6:$B$337))</x:f>
        <x:v>1</x:v>
      </x:c>
      <x:c r="G100" s="26" t="n">
        <x:f>'Resumen'!$B$9*E100+'Resumen'!$B$10*F100</x:f>
        <x:v>0.8850444603434178</x:v>
      </x:c>
      <x:c r="H100" s="8" t="n">
        <x:v>512009.31999999995</x:v>
      </x:c>
      <x:c r="I100" s="8" t="n">
        <x:v>373439.64999999997</x:v>
      </x:c>
      <x:c r="J100" s="8" t="n">
        <x:f>MAX(H100-I100,0)</x:f>
        <x:v>138569.66999999998</x:v>
      </x:c>
      <x:c r="K100" s="8" t="n">
        <x:f>J100*G100</x:f>
        <x:v>122640.31880511547</x:v>
      </x:c>
      <x:c r="L100" s="8" t="n">
        <x:f>IFERROR('Resumen'!$B$14*K100/SUM($K$6:$K$337),0)</x:f>
        <x:v>88831.88230124644</x:v>
      </x:c>
      <x:c r="M100" s="8" t="n">
        <x:f>I100+L100</x:f>
        <x:v>462271.5323012464</x:v>
      </x:c>
      <x:c r="N100" s="8" t="n">
        <x:v>0</x:v>
      </x:c>
      <x:c r="O100" s="8" t="n">
        <x:f>N100*'Resumen'!$B$8</x:f>
        <x:v>0</x:v>
      </x:c>
      <x:c r="P100" s="8" t="n">
        <x:f>M100+O100</x:f>
        <x:v>462271.5323012464</x:v>
      </x:c>
      <x:c r="Q100" s="8" t="n">
        <x:f>P100-H100</x:f>
        <x:v>-49737.78769875353</x:v>
      </x:c>
      <x:c r="R100" s="8" t="n">
        <x:v>0</x:v>
      </x:c>
      <x:c r="S100" s="8" t="n">
        <x:f>R100*'Resumen'!$B$8</x:f>
        <x:v>0</x:v>
      </x:c>
      <x:c r="T100" s="8" t="n">
        <x:f>M100+S100</x:f>
        <x:v>462271.5323012464</x:v>
      </x:c>
      <x:c r="U100" s="8" t="n">
        <x:f>T100-H100</x:f>
        <x:v>-49737.78769875353</x:v>
      </x:c>
      <x:c r="V100" s="27" t="n">
        <x:v>0</x:v>
      </x:c>
    </x:row>
    <x:row r="101">
      <x:c r="A101" s="28" t="str">
        <x:v>208333</x:v>
      </x:c>
      <x:c r="B101" s="25" t="n">
        <x:v>27</x:v>
      </x:c>
      <x:c r="C101" s="25" t="n">
        <x:v>35618</x:v>
      </x:c>
      <x:c r="D101" s="25" t="n">
        <x:f>IF(B101=0,0,C101/B101)</x:f>
        <x:v>1319.1851851851852</x:v>
      </x:c>
      <x:c r="E101" s="26" t="n">
        <x:f>IF(D101=0,0,D101/MAX($D$6:$D$337))</x:f>
        <x:v>0.9438160564489264</x:v>
      </x:c>
      <x:c r="F101" s="26" t="n">
        <x:f>IF(B101=0,0,B101/MAX($B$6:$B$337))</x:f>
        <x:v>0.9642857142857143</x:v>
      </x:c>
      <x:c r="G101" s="26" t="n">
        <x:f>'Resumen'!$B$9*E101+'Resumen'!$B$10*F101</x:f>
        <x:v>0.9499569537999627</x:v>
      </x:c>
      <x:c r="H101" s="8" t="n">
        <x:v>775332.33</x:v>
      </x:c>
      <x:c r="I101" s="8" t="n">
        <x:v>427115.07999999996</x:v>
      </x:c>
      <x:c r="J101" s="8" t="n">
        <x:f>MAX(H101-I101,0)</x:f>
        <x:v>348217.25</x:v>
      </x:c>
      <x:c r="K101" s="8" t="n">
        <x:f>J101*G101</x:f>
        <x:v>330791.39807060006</x:v>
      </x:c>
      <x:c r="L101" s="8" t="n">
        <x:f>IFERROR('Resumen'!$B$14*K101/SUM($K$6:$K$337),0)</x:f>
        <x:v>239601.6483483459</x:v>
      </x:c>
      <x:c r="M101" s="8" t="n">
        <x:f>I101+L101</x:f>
        <x:v>666716.7283483458</x:v>
      </x:c>
      <x:c r="N101" s="8" t="n">
        <x:v>0</x:v>
      </x:c>
      <x:c r="O101" s="8" t="n">
        <x:f>N101*'Resumen'!$B$8</x:f>
        <x:v>0</x:v>
      </x:c>
      <x:c r="P101" s="8" t="n">
        <x:f>M101+O101</x:f>
        <x:v>666716.7283483458</x:v>
      </x:c>
      <x:c r="Q101" s="8" t="n">
        <x:f>P101-H101</x:f>
        <x:v>-108615.60165165411</x:v>
      </x:c>
      <x:c r="R101" s="8" t="n">
        <x:v>0</x:v>
      </x:c>
      <x:c r="S101" s="8" t="n">
        <x:f>R101*'Resumen'!$B$8</x:f>
        <x:v>0</x:v>
      </x:c>
      <x:c r="T101" s="8" t="n">
        <x:f>M101+S101</x:f>
        <x:v>666716.7283483458</x:v>
      </x:c>
      <x:c r="U101" s="8" t="n">
        <x:f>T101-H101</x:f>
        <x:v>-108615.60165165411</x:v>
      </x:c>
      <x:c r="V101" s="27" t="n">
        <x:v>0</x:v>
      </x:c>
    </x:row>
    <x:row r="102">
      <x:c r="A102" s="28" t="str">
        <x:v>208334</x:v>
      </x:c>
      <x:c r="B102" s="25" t="n">
        <x:v>25</x:v>
      </x:c>
      <x:c r="C102" s="25" t="n">
        <x:v>26717</x:v>
      </x:c>
      <x:c r="D102" s="25" t="n">
        <x:f>IF(B102=0,0,C102/B102)</x:f>
        <x:v>1068.68</x:v>
      </x:c>
      <x:c r="E102" s="26" t="n">
        <x:f>IF(D102=0,0,D102/MAX($D$6:$D$337))</x:f>
        <x:v>0.7645911692559281</x:v>
      </x:c>
      <x:c r="F102" s="26" t="n">
        <x:f>IF(B102=0,0,B102/MAX($B$6:$B$337))</x:f>
        <x:v>0.8928571428571429</x:v>
      </x:c>
      <x:c r="G102" s="26" t="n">
        <x:f>'Resumen'!$B$9*E102+'Resumen'!$B$10*F102</x:f>
        <x:v>0.8030709613362925</x:v>
      </x:c>
      <x:c r="H102" s="8" t="n">
        <x:v>435960.61</x:v>
      </x:c>
      <x:c r="I102" s="8" t="n">
        <x:v>289499.26</x:v>
      </x:c>
      <x:c r="J102" s="8" t="n">
        <x:f>MAX(H102-I102,0)</x:f>
        <x:v>146461.34999999998</x:v>
      </x:c>
      <x:c r="K102" s="8" t="n">
        <x:f>J102*G102</x:f>
        <x:v>117618.85714311119</x:v>
      </x:c>
      <x:c r="L102" s="8" t="n">
        <x:f>IFERROR('Resumen'!$B$14*K102/SUM($K$6:$K$337),0)</x:f>
        <x:v>85194.6943382225</x:v>
      </x:c>
      <x:c r="M102" s="8" t="n">
        <x:f>I102+L102</x:f>
        <x:v>374693.9543382225</x:v>
      </x:c>
      <x:c r="N102" s="8" t="n">
        <x:v>0</x:v>
      </x:c>
      <x:c r="O102" s="8" t="n">
        <x:f>N102*'Resumen'!$B$8</x:f>
        <x:v>0</x:v>
      </x:c>
      <x:c r="P102" s="8" t="n">
        <x:f>M102+O102</x:f>
        <x:v>374693.9543382225</x:v>
      </x:c>
      <x:c r="Q102" s="8" t="n">
        <x:f>P102-H102</x:f>
        <x:v>-61266.65566177748</x:v>
      </x:c>
      <x:c r="R102" s="8" t="n">
        <x:v>0</x:v>
      </x:c>
      <x:c r="S102" s="8" t="n">
        <x:f>R102*'Resumen'!$B$8</x:f>
        <x:v>0</x:v>
      </x:c>
      <x:c r="T102" s="8" t="n">
        <x:f>M102+S102</x:f>
        <x:v>374693.9543382225</x:v>
      </x:c>
      <x:c r="U102" s="8" t="n">
        <x:f>T102-H102</x:f>
        <x:v>-61266.65566177748</x:v>
      </x:c>
      <x:c r="V102" s="27" t="n">
        <x:v>0</x:v>
      </x:c>
    </x:row>
    <x:row r="103">
      <x:c r="A103" s="28" t="str">
        <x:v>208363</x:v>
      </x:c>
      <x:c r="B103" s="25" t="n">
        <x:v>28</x:v>
      </x:c>
      <x:c r="C103" s="25" t="n">
        <x:v>33178</x:v>
      </x:c>
      <x:c r="D103" s="25" t="n">
        <x:f>IF(B103=0,0,C103/B103)</x:f>
        <x:v>1184.9285714285713</x:v>
      </x:c>
      <x:c r="E103" s="26" t="n">
        <x:f>IF(D103=0,0,D103/MAX($D$6:$D$337))</x:f>
        <x:v>0.847761651676206</x:v>
      </x:c>
      <x:c r="F103" s="26" t="n">
        <x:f>IF(B103=0,0,B103/MAX($B$6:$B$337))</x:f>
        <x:v>1</x:v>
      </x:c>
      <x:c r="G103" s="26" t="n">
        <x:f>'Resumen'!$B$9*E103+'Resumen'!$B$10*F103</x:f>
        <x:v>0.8934331561733442</x:v>
      </x:c>
      <x:c r="H103" s="8" t="n">
        <x:v>546840.52</x:v>
      </x:c>
      <x:c r="I103" s="8" t="n">
        <x:v>372795.64999999997</x:v>
      </x:c>
      <x:c r="J103" s="8" t="n">
        <x:f>MAX(H103-I103,0)</x:f>
        <x:v>174044.87000000005</x:v>
      </x:c>
      <x:c r="K103" s="8" t="n">
        <x:f>J103*G103</x:f>
        <x:v>155497.45751987942</x:v>
      </x:c>
      <x:c r="L103" s="8" t="n">
        <x:f>IFERROR('Resumen'!$B$14*K103/SUM($K$6:$K$337),0)</x:f>
        <x:v>112631.2454104028</x:v>
      </x:c>
      <x:c r="M103" s="8" t="n">
        <x:f>I103+L103</x:f>
        <x:v>485426.8954104028</x:v>
      </x:c>
      <x:c r="N103" s="8" t="n">
        <x:v>0</x:v>
      </x:c>
      <x:c r="O103" s="8" t="n">
        <x:f>N103*'Resumen'!$B$8</x:f>
        <x:v>0</x:v>
      </x:c>
      <x:c r="P103" s="8" t="n">
        <x:f>M103+O103</x:f>
        <x:v>485426.8954104028</x:v>
      </x:c>
      <x:c r="Q103" s="8" t="n">
        <x:f>P103-H103</x:f>
        <x:v>-61413.624589597224</x:v>
      </x:c>
      <x:c r="R103" s="8" t="n">
        <x:v>0</x:v>
      </x:c>
      <x:c r="S103" s="8" t="n">
        <x:f>R103*'Resumen'!$B$8</x:f>
        <x:v>0</x:v>
      </x:c>
      <x:c r="T103" s="8" t="n">
        <x:f>M103+S103</x:f>
        <x:v>485426.8954104028</x:v>
      </x:c>
      <x:c r="U103" s="8" t="n">
        <x:f>T103-H103</x:f>
        <x:v>-61413.624589597224</x:v>
      </x:c>
      <x:c r="V103" s="27" t="n">
        <x:v>0</x:v>
      </x:c>
    </x:row>
    <x:row r="104">
      <x:c r="A104" s="28" t="str">
        <x:v>208364</x:v>
      </x:c>
      <x:c r="B104" s="25" t="n">
        <x:v>26</x:v>
      </x:c>
      <x:c r="C104" s="25" t="n">
        <x:v>23682</x:v>
      </x:c>
      <x:c r="D104" s="25" t="n">
        <x:f>IF(B104=0,0,C104/B104)</x:f>
        <x:v>910.8461538461538</x:v>
      </x:c>
      <x:c r="E104" s="26" t="n">
        <x:f>IF(D104=0,0,D104/MAX($D$6:$D$337))</x:f>
        <x:v>0.6516683439210013</x:v>
      </x:c>
      <x:c r="F104" s="26" t="n">
        <x:f>IF(B104=0,0,B104/MAX($B$6:$B$337))</x:f>
        <x:v>0.9285714285714286</x:v>
      </x:c>
      <x:c r="G104" s="26" t="n">
        <x:f>'Resumen'!$B$9*E104+'Resumen'!$B$10*F104</x:f>
        <x:v>0.7347392693161294</x:v>
      </x:c>
      <x:c r="H104" s="8" t="n">
        <x:v>231719.22999999998</x:v>
      </x:c>
      <x:c r="I104" s="8" t="n">
        <x:v>176182.54000000004</x:v>
      </x:c>
      <x:c r="J104" s="8" t="n">
        <x:f>MAX(H104-I104,0)</x:f>
        <x:v>55536.689999999944</x:v>
      </x:c>
      <x:c r="K104" s="8" t="n">
        <x:f>J104*G104</x:f>
        <x:v>40804.98703083635</x:v>
      </x:c>
      <x:c r="L104" s="8" t="n">
        <x:f>IFERROR('Resumen'!$B$14*K104/SUM($K$6:$K$337),0)</x:f>
        <x:v>29556.216426566796</x:v>
      </x:c>
      <x:c r="M104" s="8" t="n">
        <x:f>I104+L104</x:f>
        <x:v>205738.75642656683</x:v>
      </x:c>
      <x:c r="N104" s="8" t="n">
        <x:v>0</x:v>
      </x:c>
      <x:c r="O104" s="8" t="n">
        <x:f>N104*'Resumen'!$B$8</x:f>
        <x:v>0</x:v>
      </x:c>
      <x:c r="P104" s="8" t="n">
        <x:f>M104+O104</x:f>
        <x:v>205738.75642656683</x:v>
      </x:c>
      <x:c r="Q104" s="8" t="n">
        <x:f>P104-H104</x:f>
        <x:v>-25980.473573433148</x:v>
      </x:c>
      <x:c r="R104" s="8" t="n">
        <x:v>0</x:v>
      </x:c>
      <x:c r="S104" s="8" t="n">
        <x:f>R104*'Resumen'!$B$8</x:f>
        <x:v>0</x:v>
      </x:c>
      <x:c r="T104" s="8" t="n">
        <x:f>M104+S104</x:f>
        <x:v>205738.75642656683</x:v>
      </x:c>
      <x:c r="U104" s="8" t="n">
        <x:f>T104-H104</x:f>
        <x:v>-25980.473573433148</x:v>
      </x:c>
      <x:c r="V104" s="27" t="n">
        <x:v>0</x:v>
      </x:c>
    </x:row>
    <x:row r="105">
      <x:c r="A105" s="28" t="str">
        <x:v>208365</x:v>
      </x:c>
      <x:c r="B105" s="25" t="n">
        <x:v>22</x:v>
      </x:c>
      <x:c r="C105" s="25" t="n">
        <x:v>24598</x:v>
      </x:c>
      <x:c r="D105" s="25" t="n">
        <x:f>IF(B105=0,0,C105/B105)</x:f>
        <x:v>1118.090909090909</x:v>
      </x:c>
      <x:c r="E105" s="26" t="n">
        <x:f>IF(D105=0,0,D105/MAX($D$6:$D$337))</x:f>
        <x:v>0.7999423920315171</x:v>
      </x:c>
      <x:c r="F105" s="26" t="n">
        <x:f>IF(B105=0,0,B105/MAX($B$6:$B$337))</x:f>
        <x:v>0.7857142857142857</x:v>
      </x:c>
      <x:c r="G105" s="26" t="n">
        <x:f>'Resumen'!$B$9*E105+'Resumen'!$B$10*F105</x:f>
        <x:v>0.7956739601363476</x:v>
      </x:c>
      <x:c r="H105" s="8" t="n">
        <x:v>461419.81</x:v>
      </x:c>
      <x:c r="I105" s="8" t="n">
        <x:v>267337.18</x:v>
      </x:c>
      <x:c r="J105" s="8" t="n">
        <x:f>MAX(H105-I105,0)</x:f>
        <x:v>194082.63</x:v>
      </x:c>
      <x:c r="K105" s="8" t="n">
        <x:f>J105*G105</x:f>
        <x:v>154426.4948057775</x:v>
      </x:c>
      <x:c r="L105" s="8" t="n">
        <x:f>IFERROR('Resumen'!$B$14*K105/SUM($K$6:$K$337),0)</x:f>
        <x:v>111855.51655797457</x:v>
      </x:c>
      <x:c r="M105" s="8" t="n">
        <x:f>I105+L105</x:f>
        <x:v>379192.69655797456</x:v>
      </x:c>
      <x:c r="N105" s="8" t="n">
        <x:v>0</x:v>
      </x:c>
      <x:c r="O105" s="8" t="n">
        <x:f>N105*'Resumen'!$B$8</x:f>
        <x:v>0</x:v>
      </x:c>
      <x:c r="P105" s="8" t="n">
        <x:f>M105+O105</x:f>
        <x:v>379192.69655797456</x:v>
      </x:c>
      <x:c r="Q105" s="8" t="n">
        <x:f>P105-H105</x:f>
        <x:v>-82227.11344202544</x:v>
      </x:c>
      <x:c r="R105" s="8" t="n">
        <x:v>0</x:v>
      </x:c>
      <x:c r="S105" s="8" t="n">
        <x:f>R105*'Resumen'!$B$8</x:f>
        <x:v>0</x:v>
      </x:c>
      <x:c r="T105" s="8" t="n">
        <x:f>M105+S105</x:f>
        <x:v>379192.69655797456</x:v>
      </x:c>
      <x:c r="U105" s="8" t="n">
        <x:f>T105-H105</x:f>
        <x:v>-82227.11344202544</x:v>
      </x:c>
      <x:c r="V105" s="27" t="n">
        <x:v>0</x:v>
      </x:c>
    </x:row>
    <x:row r="106">
      <x:c r="A106" s="28" t="str">
        <x:v>208373</x:v>
      </x:c>
      <x:c r="B106" s="25" t="n">
        <x:v>28</x:v>
      </x:c>
      <x:c r="C106" s="25" t="n">
        <x:v>30830</x:v>
      </x:c>
      <x:c r="D106" s="25" t="n">
        <x:f>IF(B106=0,0,C106/B106)</x:f>
        <x:v>1101.0714285714287</x:v>
      </x:c>
      <x:c r="E106" s="26" t="n">
        <x:f>IF(D106=0,0,D106/MAX($D$6:$D$337))</x:f>
        <x:v>0.7877657399836469</x:v>
      </x:c>
      <x:c r="F106" s="26" t="n">
        <x:f>IF(B106=0,0,B106/MAX($B$6:$B$337))</x:f>
        <x:v>1</x:v>
      </x:c>
      <x:c r="G106" s="26" t="n">
        <x:f>'Resumen'!$B$9*E106+'Resumen'!$B$10*F106</x:f>
        <x:v>0.8514360179885527</x:v>
      </x:c>
      <x:c r="H106" s="8" t="n">
        <x:v>462401.73999999993</x:v>
      </x:c>
      <x:c r="I106" s="8" t="n">
        <x:v>303693.8800000001</x:v>
      </x:c>
      <x:c r="J106" s="8" t="n">
        <x:f>MAX(H106-I106,0)</x:f>
        <x:v>158707.8599999998</x:v>
      </x:c>
      <x:c r="K106" s="8" t="n">
        <x:f>J106*G106</x:f>
        <x:v>135129.58834188455</x:v>
      </x:c>
      <x:c r="L106" s="8" t="n">
        <x:f>IFERROR('Resumen'!$B$14*K106/SUM($K$6:$K$337),0)</x:f>
        <x:v>97878.216592678</x:v>
      </x:c>
      <x:c r="M106" s="8" t="n">
        <x:f>I106+L106</x:f>
        <x:v>401572.0965926781</x:v>
      </x:c>
      <x:c r="N106" s="8" t="n">
        <x:v>0</x:v>
      </x:c>
      <x:c r="O106" s="8" t="n">
        <x:f>N106*'Resumen'!$B$8</x:f>
        <x:v>0</x:v>
      </x:c>
      <x:c r="P106" s="8" t="n">
        <x:f>M106+O106</x:f>
        <x:v>401572.0965926781</x:v>
      </x:c>
      <x:c r="Q106" s="8" t="n">
        <x:f>P106-H106</x:f>
        <x:v>-60829.643407321826</x:v>
      </x:c>
      <x:c r="R106" s="8" t="n">
        <x:v>0</x:v>
      </x:c>
      <x:c r="S106" s="8" t="n">
        <x:f>R106*'Resumen'!$B$8</x:f>
        <x:v>0</x:v>
      </x:c>
      <x:c r="T106" s="8" t="n">
        <x:f>M106+S106</x:f>
        <x:v>401572.0965926781</x:v>
      </x:c>
      <x:c r="U106" s="8" t="n">
        <x:f>T106-H106</x:f>
        <x:v>-60829.643407321826</x:v>
      </x:c>
      <x:c r="V106" s="27" t="n">
        <x:v>0</x:v>
      </x:c>
    </x:row>
    <x:row r="107">
      <x:c r="A107" s="28" t="str">
        <x:v>208374</x:v>
      </x:c>
      <x:c r="B107" s="25" t="n">
        <x:v>27</x:v>
      </x:c>
      <x:c r="C107" s="25" t="n">
        <x:v>33369</x:v>
      </x:c>
      <x:c r="D107" s="25" t="n">
        <x:f>IF(B107=0,0,C107/B107)</x:f>
        <x:v>1235.888888888889</x:v>
      </x:c>
      <x:c r="E107" s="26" t="n">
        <x:f>IF(D107=0,0,D107/MAX($D$6:$D$337))</x:f>
        <x:v>0.8842214045607341</x:v>
      </x:c>
      <x:c r="F107" s="26" t="n">
        <x:f>IF(B107=0,0,B107/MAX($B$6:$B$337))</x:f>
        <x:v>0.9642857142857143</x:v>
      </x:c>
      <x:c r="G107" s="26" t="n">
        <x:f>'Resumen'!$B$9*E107+'Resumen'!$B$10*F107</x:f>
        <x:v>0.9082406974782281</x:v>
      </x:c>
      <x:c r="H107" s="8" t="n">
        <x:v>611790.34</x:v>
      </x:c>
      <x:c r="I107" s="8" t="n">
        <x:v>387779.11999999994</x:v>
      </x:c>
      <x:c r="J107" s="8" t="n">
        <x:f>MAX(H107-I107,0)</x:f>
        <x:v>224011.22000000003</x:v>
      </x:c>
      <x:c r="K107" s="8" t="n">
        <x:f>J107*G107</x:f>
        <x:v>203456.10669574884</x:v>
      </x:c>
      <x:c r="L107" s="8" t="n">
        <x:f>IFERROR('Resumen'!$B$14*K107/SUM($K$6:$K$337),0)</x:f>
        <x:v>147369.06344957039</x:v>
      </x:c>
      <x:c r="M107" s="8" t="n">
        <x:f>I107+L107</x:f>
        <x:v>535148.1834495703</x:v>
      </x:c>
      <x:c r="N107" s="8" t="n">
        <x:v>0</x:v>
      </x:c>
      <x:c r="O107" s="8" t="n">
        <x:f>N107*'Resumen'!$B$8</x:f>
        <x:v>0</x:v>
      </x:c>
      <x:c r="P107" s="8" t="n">
        <x:f>M107+O107</x:f>
        <x:v>535148.1834495703</x:v>
      </x:c>
      <x:c r="Q107" s="8" t="n">
        <x:f>P107-H107</x:f>
        <x:v>-76642.15655042964</x:v>
      </x:c>
      <x:c r="R107" s="8" t="n">
        <x:v>0</x:v>
      </x:c>
      <x:c r="S107" s="8" t="n">
        <x:f>R107*'Resumen'!$B$8</x:f>
        <x:v>0</x:v>
      </x:c>
      <x:c r="T107" s="8" t="n">
        <x:f>M107+S107</x:f>
        <x:v>535148.1834495703</x:v>
      </x:c>
      <x:c r="U107" s="8" t="n">
        <x:f>T107-H107</x:f>
        <x:v>-76642.15655042964</x:v>
      </x:c>
      <x:c r="V107" s="27" t="n">
        <x:v>0</x:v>
      </x:c>
    </x:row>
    <x:row r="108">
      <x:c r="A108" s="28" t="str">
        <x:v>65552</x:v>
      </x:c>
      <x:c r="B108" s="25" t="n">
        <x:v>2</x:v>
      </x:c>
      <x:c r="C108" s="25" t="n">
        <x:v>0</x:v>
      </x:c>
      <x:c r="D108" s="25" t="n">
        <x:f>IF(B108=0,0,C108/B108)</x:f>
        <x:v>0</x:v>
      </x:c>
      <x:c r="E108" s="26" t="n">
        <x:f>IF(D108=0,0,D108/MAX($D$6:$D$337))</x:f>
        <x:v>0</x:v>
      </x:c>
      <x:c r="F108" s="26" t="n">
        <x:f>IF(B108=0,0,B108/MAX($B$6:$B$337))</x:f>
        <x:v>0.07142857142857142</x:v>
      </x:c>
      <x:c r="G108" s="26" t="n">
        <x:f>'Resumen'!$B$9*E108+'Resumen'!$B$10*F108</x:f>
        <x:v>0.021428571428571425</x:v>
      </x:c>
      <x:c r="H108" s="8" t="n">
        <x:v>0</x:v>
      </x:c>
      <x:c r="I108" s="8" t="n">
        <x:v>0</x:v>
      </x:c>
      <x:c r="J108" s="8" t="n">
        <x:f>MAX(H108-I108,0)</x:f>
        <x:v>0</x:v>
      </x:c>
      <x:c r="K108" s="8" t="n">
        <x:f>J108*G108</x:f>
        <x:v>0</x:v>
      </x:c>
      <x:c r="L108" s="8" t="n">
        <x:f>IFERROR('Resumen'!$B$14*K108/SUM($K$6:$K$337),0)</x:f>
        <x:v>0</x:v>
      </x:c>
      <x:c r="M108" s="8" t="n">
        <x:f>I108+L108</x:f>
        <x:v>0</x:v>
      </x:c>
      <x:c r="N108" s="8" t="n">
        <x:v>0</x:v>
      </x:c>
      <x:c r="O108" s="8" t="n">
        <x:f>N108*'Resumen'!$B$8</x:f>
        <x:v>0</x:v>
      </x:c>
      <x:c r="P108" s="8" t="n">
        <x:f>M108+O108</x:f>
        <x:v>0</x:v>
      </x:c>
      <x:c r="Q108" s="8" t="n">
        <x:f>P108-H108</x:f>
        <x:v>0</x:v>
      </x:c>
      <x:c r="R108" s="8" t="n">
        <x:v>0</x:v>
      </x:c>
      <x:c r="S108" s="8" t="n">
        <x:f>R108*'Resumen'!$B$8</x:f>
        <x:v>0</x:v>
      </x:c>
      <x:c r="T108" s="8" t="n">
        <x:f>M108+S108</x:f>
        <x:v>0</x:v>
      </x:c>
      <x:c r="U108" s="8" t="n">
        <x:f>T108-H108</x:f>
        <x:v>0</x:v>
      </x:c>
      <x:c r="V108" s="27" t="n">
        <x:v>0</x:v>
      </x:c>
    </x:row>
    <x:row r="109">
      <x:c r="A109" s="28" t="str">
        <x:v>69630</x:v>
      </x:c>
      <x:c r="B109" s="25" t="n">
        <x:v>26</x:v>
      </x:c>
      <x:c r="C109" s="25" t="n">
        <x:v>0</x:v>
      </x:c>
      <x:c r="D109" s="25" t="n">
        <x:f>IF(B109=0,0,C109/B109)</x:f>
        <x:v>0</x:v>
      </x:c>
      <x:c r="E109" s="26" t="n">
        <x:f>IF(D109=0,0,D109/MAX($D$6:$D$337))</x:f>
        <x:v>0</x:v>
      </x:c>
      <x:c r="F109" s="26" t="n">
        <x:f>IF(B109=0,0,B109/MAX($B$6:$B$337))</x:f>
        <x:v>0.9285714285714286</x:v>
      </x:c>
      <x:c r="G109" s="26" t="n">
        <x:f>'Resumen'!$B$9*E109+'Resumen'!$B$10*F109</x:f>
        <x:v>0.2785714285714286</x:v>
      </x:c>
      <x:c r="H109" s="8" t="n">
        <x:v>0</x:v>
      </x:c>
      <x:c r="I109" s="8" t="n">
        <x:v>0</x:v>
      </x:c>
      <x:c r="J109" s="8" t="n">
        <x:f>MAX(H109-I109,0)</x:f>
        <x:v>0</x:v>
      </x:c>
      <x:c r="K109" s="8" t="n">
        <x:f>J109*G109</x:f>
        <x:v>0</x:v>
      </x:c>
      <x:c r="L109" s="8" t="n">
        <x:f>IFERROR('Resumen'!$B$14*K109/SUM($K$6:$K$337),0)</x:f>
        <x:v>0</x:v>
      </x:c>
      <x:c r="M109" s="8" t="n">
        <x:f>I109+L109</x:f>
        <x:v>0</x:v>
      </x:c>
      <x:c r="N109" s="8" t="n">
        <x:v>0</x:v>
      </x:c>
      <x:c r="O109" s="8" t="n">
        <x:f>N109*'Resumen'!$B$8</x:f>
        <x:v>0</x:v>
      </x:c>
      <x:c r="P109" s="8" t="n">
        <x:f>M109+O109</x:f>
        <x:v>0</x:v>
      </x:c>
      <x:c r="Q109" s="8" t="n">
        <x:f>P109-H109</x:f>
        <x:v>0</x:v>
      </x:c>
      <x:c r="R109" s="8" t="n">
        <x:v>0</x:v>
      </x:c>
      <x:c r="S109" s="8" t="n">
        <x:f>R109*'Resumen'!$B$8</x:f>
        <x:v>0</x:v>
      </x:c>
      <x:c r="T109" s="8" t="n">
        <x:f>M109+S109</x:f>
        <x:v>0</x:v>
      </x:c>
      <x:c r="U109" s="8" t="n">
        <x:f>T109-H109</x:f>
        <x:v>0</x:v>
      </x:c>
      <x:c r="V109" s="27" t="n">
        <x:v>0</x:v>
      </x:c>
    </x:row>
    <x:row r="110">
      <x:c r="A110" s="28" t="str">
        <x:v>733941</x:v>
      </x:c>
      <x:c r="B110" s="25" t="n">
        <x:v>3</x:v>
      </x:c>
      <x:c r="C110" s="25" t="n">
        <x:v>2427</x:v>
      </x:c>
      <x:c r="D110" s="25" t="n">
        <x:f>IF(B110=0,0,C110/B110)</x:f>
        <x:v>809</x:v>
      </x:c>
      <x:c r="E110" s="26" t="n">
        <x:f>IF(D110=0,0,D110/MAX($D$6:$D$337))</x:f>
        <x:v>0.5788021259198691</x:v>
      </x:c>
      <x:c r="F110" s="26" t="n">
        <x:f>IF(B110=0,0,B110/MAX($B$6:$B$337))</x:f>
        <x:v>0.10714285714285714</x:v>
      </x:c>
      <x:c r="G110" s="26" t="n">
        <x:f>'Resumen'!$B$9*E110+'Resumen'!$B$10*F110</x:f>
        <x:v>0.4373043452867655</x:v>
      </x:c>
      <x:c r="H110" s="8" t="n">
        <x:v>27651.18</x:v>
      </x:c>
      <x:c r="I110" s="8" t="n">
        <x:v>14450.92</x:v>
      </x:c>
      <x:c r="J110" s="8" t="n">
        <x:f>MAX(H110-I110,0)</x:f>
        <x:v>13200.26</x:v>
      </x:c>
      <x:c r="K110" s="8" t="n">
        <x:f>J110*G110</x:f>
        <x:v>5772.531056915079</x:v>
      </x:c>
      <x:c r="L110" s="8" t="n">
        <x:f>IFERROR('Resumen'!$B$14*K110/SUM($K$6:$K$337),0)</x:f>
        <x:v>4181.208956599526</x:v>
      </x:c>
      <x:c r="M110" s="8" t="n">
        <x:f>I110+L110</x:f>
        <x:v>18632.128956599525</x:v>
      </x:c>
      <x:c r="N110" s="8" t="n">
        <x:v>0</x:v>
      </x:c>
      <x:c r="O110" s="8" t="n">
        <x:f>N110*'Resumen'!$B$8</x:f>
        <x:v>0</x:v>
      </x:c>
      <x:c r="P110" s="8" t="n">
        <x:f>M110+O110</x:f>
        <x:v>18632.128956599525</x:v>
      </x:c>
      <x:c r="Q110" s="8" t="n">
        <x:f>P110-H110</x:f>
        <x:v>-9019.051043400475</x:v>
      </x:c>
      <x:c r="R110" s="8" t="n">
        <x:v>0</x:v>
      </x:c>
      <x:c r="S110" s="8" t="n">
        <x:f>R110*'Resumen'!$B$8</x:f>
        <x:v>0</x:v>
      </x:c>
      <x:c r="T110" s="8" t="n">
        <x:f>M110+S110</x:f>
        <x:v>18632.128956599525</x:v>
      </x:c>
      <x:c r="U110" s="8" t="n">
        <x:f>T110-H110</x:f>
        <x:v>-9019.051043400475</x:v>
      </x:c>
      <x:c r="V110" s="27" t="n">
        <x:v>0</x:v>
      </x:c>
    </x:row>
    <x:row r="111">
      <x:c r="A111" s="28" t="str">
        <x:v>733942</x:v>
      </x:c>
      <x:c r="B111" s="25" t="n">
        <x:v>1</x:v>
      </x:c>
      <x:c r="C111" s="25" t="n">
        <x:v>940</x:v>
      </x:c>
      <x:c r="D111" s="25" t="n">
        <x:f>IF(B111=0,0,C111/B111)</x:f>
        <x:v>940</x:v>
      </x:c>
      <x:c r="E111" s="26" t="n">
        <x:f>IF(D111=0,0,D111/MAX($D$6:$D$337))</x:f>
        <x:v>0.6725265739983647</x:v>
      </x:c>
      <x:c r="F111" s="26" t="n">
        <x:f>IF(B111=0,0,B111/MAX($B$6:$B$337))</x:f>
        <x:v>0.03571428571428571</x:v>
      </x:c>
      <x:c r="G111" s="26" t="n">
        <x:f>'Resumen'!$B$9*E111+'Resumen'!$B$10*F111</x:f>
        <x:v>0.481482887513141</x:v>
      </x:c>
      <x:c r="H111" s="8" t="n">
        <x:v>13104.3</x:v>
      </x:c>
      <x:c r="I111" s="8" t="n">
        <x:v>7939.27</x:v>
      </x:c>
      <x:c r="J111" s="8" t="n">
        <x:f>MAX(H111-I111,0)</x:f>
        <x:v>5165.029999999999</x:v>
      </x:c>
      <x:c r="K111" s="8" t="n">
        <x:f>J111*G111</x:f>
        <x:v>2486.873558491998</x:v>
      </x:c>
      <x:c r="L111" s="8" t="n">
        <x:f>IFERROR('Resumen'!$B$14*K111/SUM($K$6:$K$337),0)</x:f>
        <x:v>1801.3134782949417</x:v>
      </x:c>
      <x:c r="M111" s="8" t="n">
        <x:f>I111+L111</x:f>
        <x:v>9740.583478294942</x:v>
      </x:c>
      <x:c r="N111" s="8" t="n">
        <x:v>0</x:v>
      </x:c>
      <x:c r="O111" s="8" t="n">
        <x:f>N111*'Resumen'!$B$8</x:f>
        <x:v>0</x:v>
      </x:c>
      <x:c r="P111" s="8" t="n">
        <x:f>M111+O111</x:f>
        <x:v>9740.583478294942</x:v>
      </x:c>
      <x:c r="Q111" s="8" t="n">
        <x:f>P111-H111</x:f>
        <x:v>-3363.716521705057</x:v>
      </x:c>
      <x:c r="R111" s="8" t="n">
        <x:v>0</x:v>
      </x:c>
      <x:c r="S111" s="8" t="n">
        <x:f>R111*'Resumen'!$B$8</x:f>
        <x:v>0</x:v>
      </x:c>
      <x:c r="T111" s="8" t="n">
        <x:f>M111+S111</x:f>
        <x:v>9740.583478294942</x:v>
      </x:c>
      <x:c r="U111" s="8" t="n">
        <x:f>T111-H111</x:f>
        <x:v>-3363.716521705057</x:v>
      </x:c>
      <x:c r="V111" s="27" t="n">
        <x:v>0</x:v>
      </x:c>
    </x:row>
    <x:row r="112">
      <x:c r="A112" s="28" t="str">
        <x:v>733943</x:v>
      </x:c>
      <x:c r="B112" s="25" t="n">
        <x:v>1</x:v>
      </x:c>
      <x:c r="C112" s="25" t="n">
        <x:v>780</x:v>
      </x:c>
      <x:c r="D112" s="25" t="n">
        <x:f>IF(B112=0,0,C112/B112)</x:f>
        <x:v>780</x:v>
      </x:c>
      <x:c r="E112" s="26" t="n">
        <x:f>IF(D112=0,0,D112/MAX($D$6:$D$337))</x:f>
        <x:v>0.5580539656582175</x:v>
      </x:c>
      <x:c r="F112" s="26" t="n">
        <x:f>IF(B112=0,0,B112/MAX($B$6:$B$337))</x:f>
        <x:v>0.03571428571428571</x:v>
      </x:c>
      <x:c r="G112" s="26" t="n">
        <x:f>'Resumen'!$B$9*E112+'Resumen'!$B$10*F112</x:f>
        <x:v>0.40135206167503795</x:v>
      </x:c>
      <x:c r="H112" s="8" t="n">
        <x:v>7238.84</x:v>
      </x:c>
      <x:c r="I112" s="8" t="n">
        <x:v>7643.29</x:v>
      </x:c>
      <x:c r="J112" s="8" t="n">
        <x:f>MAX(H112-I112,0)</x:f>
        <x:v>0</x:v>
      </x:c>
      <x:c r="K112" s="8" t="n">
        <x:f>J112*G112</x:f>
        <x:v>0</x:v>
      </x:c>
      <x:c r="L112" s="8" t="n">
        <x:f>IFERROR('Resumen'!$B$14*K112/SUM($K$6:$K$337),0)</x:f>
        <x:v>0</x:v>
      </x:c>
      <x:c r="M112" s="8" t="n">
        <x:f>I112+L112</x:f>
        <x:v>7643.29</x:v>
      </x:c>
      <x:c r="N112" s="8" t="n">
        <x:v>0</x:v>
      </x:c>
      <x:c r="O112" s="8" t="n">
        <x:f>N112*'Resumen'!$B$8</x:f>
        <x:v>0</x:v>
      </x:c>
      <x:c r="P112" s="8" t="n">
        <x:f>M112+O112</x:f>
        <x:v>7643.29</x:v>
      </x:c>
      <x:c r="Q112" s="8" t="n">
        <x:f>P112-H112</x:f>
        <x:v>404.4499999999998</x:v>
      </x:c>
      <x:c r="R112" s="8" t="n">
        <x:v>0</x:v>
      </x:c>
      <x:c r="S112" s="8" t="n">
        <x:f>R112*'Resumen'!$B$8</x:f>
        <x:v>0</x:v>
      </x:c>
      <x:c r="T112" s="8" t="n">
        <x:f>M112+S112</x:f>
        <x:v>7643.29</x:v>
      </x:c>
      <x:c r="U112" s="8" t="n">
        <x:f>T112-H112</x:f>
        <x:v>404.4499999999998</x:v>
      </x:c>
      <x:c r="V112" s="27" t="n">
        <x:v>0</x:v>
      </x:c>
    </x:row>
    <x:row r="113">
      <x:c r="A113" s="28" t="str">
        <x:v>734005</x:v>
      </x:c>
      <x:c r="B113" s="25" t="n">
        <x:v>11</x:v>
      </x:c>
      <x:c r="C113" s="25" t="n">
        <x:v>11147</x:v>
      </x:c>
      <x:c r="D113" s="25" t="n">
        <x:f>IF(B113=0,0,C113/B113)</x:f>
        <x:v>1013.3636363636364</x:v>
      </x:c>
      <x:c r="E113" s="26" t="n">
        <x:f>IF(D113=0,0,D113/MAX($D$6:$D$337))</x:f>
        <x:v>0.7250148665725117</x:v>
      </x:c>
      <x:c r="F113" s="26" t="n">
        <x:f>IF(B113=0,0,B113/MAX($B$6:$B$337))</x:f>
        <x:v>0.39285714285714285</x:v>
      </x:c>
      <x:c r="G113" s="26" t="n">
        <x:f>'Resumen'!$B$9*E113+'Resumen'!$B$10*F113</x:f>
        <x:v>0.6253675494579011</x:v>
      </x:c>
      <x:c r="H113" s="8" t="n">
        <x:v>191363.86000000002</x:v>
      </x:c>
      <x:c r="I113" s="8" t="n">
        <x:v>128736.62</x:v>
      </x:c>
      <x:c r="J113" s="8" t="n">
        <x:f>MAX(H113-I113,0)</x:f>
        <x:v>62627.24000000002</x:v>
      </x:c>
      <x:c r="K113" s="8" t="n">
        <x:f>J113*G113</x:f>
        <x:v>39165.04360811185</x:v>
      </x:c>
      <x:c r="L113" s="8" t="n">
        <x:f>IFERROR('Resumen'!$B$14*K113/SUM($K$6:$K$337),0)</x:f>
        <x:v>28368.358611718315</x:v>
      </x:c>
      <x:c r="M113" s="8" t="n">
        <x:f>I113+L113</x:f>
        <x:v>157104.9786117183</x:v>
      </x:c>
      <x:c r="N113" s="8" t="n">
        <x:v>0</x:v>
      </x:c>
      <x:c r="O113" s="8" t="n">
        <x:f>N113*'Resumen'!$B$8</x:f>
        <x:v>0</x:v>
      </x:c>
      <x:c r="P113" s="8" t="n">
        <x:f>M113+O113</x:f>
        <x:v>157104.9786117183</x:v>
      </x:c>
      <x:c r="Q113" s="8" t="n">
        <x:f>P113-H113</x:f>
        <x:v>-34258.881388281705</x:v>
      </x:c>
      <x:c r="R113" s="8" t="n">
        <x:v>0</x:v>
      </x:c>
      <x:c r="S113" s="8" t="n">
        <x:f>R113*'Resumen'!$B$8</x:f>
        <x:v>0</x:v>
      </x:c>
      <x:c r="T113" s="8" t="n">
        <x:f>M113+S113</x:f>
        <x:v>157104.9786117183</x:v>
      </x:c>
      <x:c r="U113" s="8" t="n">
        <x:f>T113-H113</x:f>
        <x:v>-34258.881388281705</x:v>
      </x:c>
      <x:c r="V113" s="27" t="n">
        <x:v>0</x:v>
      </x:c>
    </x:row>
    <x:row r="114">
      <x:c r="A114" s="28" t="str">
        <x:v>734007</x:v>
      </x:c>
      <x:c r="B114" s="25" t="n">
        <x:v>4</x:v>
      </x:c>
      <x:c r="C114" s="25" t="n">
        <x:v>2817</x:v>
      </x:c>
      <x:c r="D114" s="25" t="n">
        <x:f>IF(B114=0,0,C114/B114)</x:f>
        <x:v>704.25</x:v>
      </x:c>
      <x:c r="E114" s="26" t="n">
        <x:f>IF(D114=0,0,D114/MAX($D$6:$D$337))</x:f>
        <x:v>0.503858340147179</x:v>
      </x:c>
      <x:c r="F114" s="26" t="n">
        <x:f>IF(B114=0,0,B114/MAX($B$6:$B$337))</x:f>
        <x:v>0.14285714285714285</x:v>
      </x:c>
      <x:c r="G114" s="26" t="n">
        <x:f>'Resumen'!$B$9*E114+'Resumen'!$B$10*F114</x:f>
        <x:v>0.39555798096016814</x:v>
      </x:c>
      <x:c r="H114" s="8" t="n">
        <x:v>12399.03</x:v>
      </x:c>
      <x:c r="I114" s="8" t="n">
        <x:v>33593</x:v>
      </x:c>
      <x:c r="J114" s="8" t="n">
        <x:f>MAX(H114-I114,0)</x:f>
        <x:v>0</x:v>
      </x:c>
      <x:c r="K114" s="8" t="n">
        <x:f>J114*G114</x:f>
        <x:v>0</x:v>
      </x:c>
      <x:c r="L114" s="8" t="n">
        <x:f>IFERROR('Resumen'!$B$14*K114/SUM($K$6:$K$337),0)</x:f>
        <x:v>0</x:v>
      </x:c>
      <x:c r="M114" s="8" t="n">
        <x:f>I114+L114</x:f>
        <x:v>33593</x:v>
      </x:c>
      <x:c r="N114" s="8" t="n">
        <x:v>0</x:v>
      </x:c>
      <x:c r="O114" s="8" t="n">
        <x:f>N114*'Resumen'!$B$8</x:f>
        <x:v>0</x:v>
      </x:c>
      <x:c r="P114" s="8" t="n">
        <x:f>M114+O114</x:f>
        <x:v>33593</x:v>
      </x:c>
      <x:c r="Q114" s="8" t="n">
        <x:f>P114-H114</x:f>
        <x:v>21193.97</x:v>
      </x:c>
      <x:c r="R114" s="8" t="n">
        <x:v>0</x:v>
      </x:c>
      <x:c r="S114" s="8" t="n">
        <x:f>R114*'Resumen'!$B$8</x:f>
        <x:v>0</x:v>
      </x:c>
      <x:c r="T114" s="8" t="n">
        <x:f>M114+S114</x:f>
        <x:v>33593</x:v>
      </x:c>
      <x:c r="U114" s="8" t="n">
        <x:f>T114-H114</x:f>
        <x:v>21193.97</x:v>
      </x:c>
      <x:c r="V114" s="27" t="n">
        <x:v>0</x:v>
      </x:c>
    </x:row>
    <x:row r="115">
      <x:c r="A115" s="28" t="str">
        <x:v>734008</x:v>
      </x:c>
      <x:c r="B115" s="25" t="n">
        <x:v>12</x:v>
      </x:c>
      <x:c r="C115" s="25" t="n">
        <x:v>12683</x:v>
      </x:c>
      <x:c r="D115" s="25" t="n">
        <x:f>IF(B115=0,0,C115/B115)</x:f>
        <x:v>1056.9166666666667</x:v>
      </x:c>
      <x:c r="E115" s="26" t="n">
        <x:f>IF(D115=0,0,D115/MAX($D$6:$D$337))</x:f>
        <x:v>0.7561750476969201</x:v>
      </x:c>
      <x:c r="F115" s="26" t="n">
        <x:f>IF(B115=0,0,B115/MAX($B$6:$B$337))</x:f>
        <x:v>0.42857142857142855</x:v>
      </x:c>
      <x:c r="G115" s="26" t="n">
        <x:f>'Resumen'!$B$9*E115+'Resumen'!$B$10*F115</x:f>
        <x:v>0.6578939619592726</x:v>
      </x:c>
      <x:c r="H115" s="8" t="n">
        <x:v>174142.17000000004</x:v>
      </x:c>
      <x:c r="I115" s="8" t="n">
        <x:v>150214.75</x:v>
      </x:c>
      <x:c r="J115" s="8" t="n">
        <x:f>MAX(H115-I115,0)</x:f>
        <x:v>23927.420000000042</x:v>
      </x:c>
      <x:c r="K115" s="8" t="n">
        <x:f>J115*G115</x:f>
        <x:v>15741.705143263567</x:v>
      </x:c>
      <x:c r="L115" s="8" t="n">
        <x:f>IFERROR('Resumen'!$B$14*K115/SUM($K$6:$K$337),0)</x:f>
        <x:v>11402.166205466418</x:v>
      </x:c>
      <x:c r="M115" s="8" t="n">
        <x:f>I115+L115</x:f>
        <x:v>161616.9162054664</x:v>
      </x:c>
      <x:c r="N115" s="8" t="n">
        <x:v>0</x:v>
      </x:c>
      <x:c r="O115" s="8" t="n">
        <x:f>N115*'Resumen'!$B$8</x:f>
        <x:v>0</x:v>
      </x:c>
      <x:c r="P115" s="8" t="n">
        <x:f>M115+O115</x:f>
        <x:v>161616.9162054664</x:v>
      </x:c>
      <x:c r="Q115" s="8" t="n">
        <x:f>P115-H115</x:f>
        <x:v>-12525.253794533637</x:v>
      </x:c>
      <x:c r="R115" s="8" t="n">
        <x:v>0</x:v>
      </x:c>
      <x:c r="S115" s="8" t="n">
        <x:f>R115*'Resumen'!$B$8</x:f>
        <x:v>0</x:v>
      </x:c>
      <x:c r="T115" s="8" t="n">
        <x:f>M115+S115</x:f>
        <x:v>161616.9162054664</x:v>
      </x:c>
      <x:c r="U115" s="8" t="n">
        <x:f>T115-H115</x:f>
        <x:v>-12525.253794533637</x:v>
      </x:c>
      <x:c r="V115" s="27" t="n">
        <x:v>0</x:v>
      </x:c>
    </x:row>
    <x:row r="116">
      <x:c r="A116" s="28" t="str">
        <x:v>734011</x:v>
      </x:c>
      <x:c r="B116" s="25" t="n">
        <x:v>16</x:v>
      </x:c>
      <x:c r="C116" s="25" t="n">
        <x:v>14252</x:v>
      </x:c>
      <x:c r="D116" s="25" t="n">
        <x:f>IF(B116=0,0,C116/B116)</x:f>
        <x:v>890.75</x:v>
      </x:c>
      <x:c r="E116" s="26" t="n">
        <x:f>IF(D116=0,0,D116/MAX($D$6:$D$337))</x:f>
        <x:v>0.6372904742436631</x:v>
      </x:c>
      <x:c r="F116" s="26" t="n">
        <x:f>IF(B116=0,0,B116/MAX($B$6:$B$337))</x:f>
        <x:v>0.5714285714285714</x:v>
      </x:c>
      <x:c r="G116" s="26" t="n">
        <x:f>'Resumen'!$B$9*E116+'Resumen'!$B$10*F116</x:f>
        <x:v>0.6175319033991356</x:v>
      </x:c>
      <x:c r="H116" s="8" t="n">
        <x:v>110272.32999999999</x:v>
      </x:c>
      <x:c r="I116" s="8" t="n">
        <x:v>135408.12000000002</x:v>
      </x:c>
      <x:c r="J116" s="8" t="n">
        <x:f>MAX(H116-I116,0)</x:f>
        <x:v>0</x:v>
      </x:c>
      <x:c r="K116" s="8" t="n">
        <x:f>J116*G116</x:f>
        <x:v>0</x:v>
      </x:c>
      <x:c r="L116" s="8" t="n">
        <x:f>IFERROR('Resumen'!$B$14*K116/SUM($K$6:$K$337),0)</x:f>
        <x:v>0</x:v>
      </x:c>
      <x:c r="M116" s="8" t="n">
        <x:f>I116+L116</x:f>
        <x:v>135408.12000000002</x:v>
      </x:c>
      <x:c r="N116" s="8" t="n">
        <x:v>0</x:v>
      </x:c>
      <x:c r="O116" s="8" t="n">
        <x:f>N116*'Resumen'!$B$8</x:f>
        <x:v>0</x:v>
      </x:c>
      <x:c r="P116" s="8" t="n">
        <x:f>M116+O116</x:f>
        <x:v>135408.12000000002</x:v>
      </x:c>
      <x:c r="Q116" s="8" t="n">
        <x:f>P116-H116</x:f>
        <x:v>25135.790000000037</x:v>
      </x:c>
      <x:c r="R116" s="8" t="n">
        <x:v>0</x:v>
      </x:c>
      <x:c r="S116" s="8" t="n">
        <x:f>R116*'Resumen'!$B$8</x:f>
        <x:v>0</x:v>
      </x:c>
      <x:c r="T116" s="8" t="n">
        <x:f>M116+S116</x:f>
        <x:v>135408.12000000002</x:v>
      </x:c>
      <x:c r="U116" s="8" t="n">
        <x:f>T116-H116</x:f>
        <x:v>25135.790000000037</x:v>
      </x:c>
      <x:c r="V116" s="27" t="n">
        <x:v>0</x:v>
      </x:c>
    </x:row>
    <x:row r="117">
      <x:c r="A117" s="28" t="str">
        <x:v>734232</x:v>
      </x:c>
      <x:c r="B117" s="25" t="n">
        <x:v>4</x:v>
      </x:c>
      <x:c r="C117" s="25" t="n">
        <x:v>3662</x:v>
      </x:c>
      <x:c r="D117" s="25" t="n">
        <x:f>IF(B117=0,0,C117/B117)</x:f>
        <x:v>915.5</x:v>
      </x:c>
      <x:c r="E117" s="26" t="n">
        <x:f>IF(D117=0,0,D117/MAX($D$6:$D$337))</x:f>
        <x:v>0.6549979558462796</x:v>
      </x:c>
      <x:c r="F117" s="26" t="n">
        <x:f>IF(B117=0,0,B117/MAX($B$6:$B$337))</x:f>
        <x:v>0.14285714285714285</x:v>
      </x:c>
      <x:c r="G117" s="26" t="n">
        <x:f>'Resumen'!$B$9*E117+'Resumen'!$B$10*F117</x:f>
        <x:v>0.5013557119495385</x:v>
      </x:c>
      <x:c r="H117" s="8" t="n">
        <x:v>33085.05</x:v>
      </x:c>
      <x:c r="I117" s="8" t="n">
        <x:v>34243.61</x:v>
      </x:c>
      <x:c r="J117" s="8" t="n">
        <x:f>MAX(H117-I117,0)</x:f>
        <x:v>0</x:v>
      </x:c>
      <x:c r="K117" s="8" t="n">
        <x:f>J117*G117</x:f>
        <x:v>0</x:v>
      </x:c>
      <x:c r="L117" s="8" t="n">
        <x:f>IFERROR('Resumen'!$B$14*K117/SUM($K$6:$K$337),0)</x:f>
        <x:v>0</x:v>
      </x:c>
      <x:c r="M117" s="8" t="n">
        <x:f>I117+L117</x:f>
        <x:v>34243.61</x:v>
      </x:c>
      <x:c r="N117" s="8" t="n">
        <x:v>0</x:v>
      </x:c>
      <x:c r="O117" s="8" t="n">
        <x:f>N117*'Resumen'!$B$8</x:f>
        <x:v>0</x:v>
      </x:c>
      <x:c r="P117" s="8" t="n">
        <x:f>M117+O117</x:f>
        <x:v>34243.61</x:v>
      </x:c>
      <x:c r="Q117" s="8" t="n">
        <x:f>P117-H117</x:f>
        <x:v>1158.5599999999977</x:v>
      </x:c>
      <x:c r="R117" s="8" t="n">
        <x:v>0</x:v>
      </x:c>
      <x:c r="S117" s="8" t="n">
        <x:f>R117*'Resumen'!$B$8</x:f>
        <x:v>0</x:v>
      </x:c>
      <x:c r="T117" s="8" t="n">
        <x:f>M117+S117</x:f>
        <x:v>34243.61</x:v>
      </x:c>
      <x:c r="U117" s="8" t="n">
        <x:f>T117-H117</x:f>
        <x:v>1158.5599999999977</x:v>
      </x:c>
      <x:c r="V117" s="27" t="n">
        <x:v>0</x:v>
      </x:c>
    </x:row>
    <x:row r="118">
      <x:c r="A118" s="28" t="str">
        <x:v>734234</x:v>
      </x:c>
      <x:c r="B118" s="25" t="n">
        <x:v>7</x:v>
      </x:c>
      <x:c r="C118" s="25" t="n">
        <x:v>7237</x:v>
      </x:c>
      <x:c r="D118" s="25" t="n">
        <x:f>IF(B118=0,0,C118/B118)</x:f>
        <x:v>1033.857142857143</x:v>
      </x:c>
      <x:c r="E118" s="26" t="n">
        <x:f>IF(D118=0,0,D118/MAX($D$6:$D$337))</x:f>
        <x:v>0.7396770237121831</x:v>
      </x:c>
      <x:c r="F118" s="26" t="n">
        <x:f>IF(B118=0,0,B118/MAX($B$6:$B$337))</x:f>
        <x:v>0.25</x:v>
      </x:c>
      <x:c r="G118" s="26" t="n">
        <x:f>'Resumen'!$B$9*E118+'Resumen'!$B$10*F118</x:f>
        <x:v>0.5927739165985281</x:v>
      </x:c>
      <x:c r="H118" s="8" t="n">
        <x:v>33456.12</x:v>
      </x:c>
      <x:c r="I118" s="8" t="n">
        <x:v>82607.02</x:v>
      </x:c>
      <x:c r="J118" s="8" t="n">
        <x:f>MAX(H118-I118,0)</x:f>
        <x:v>0</x:v>
      </x:c>
      <x:c r="K118" s="8" t="n">
        <x:f>J118*G118</x:f>
        <x:v>0</x:v>
      </x:c>
      <x:c r="L118" s="8" t="n">
        <x:f>IFERROR('Resumen'!$B$14*K118/SUM($K$6:$K$337),0)</x:f>
        <x:v>0</x:v>
      </x:c>
      <x:c r="M118" s="8" t="n">
        <x:f>I118+L118</x:f>
        <x:v>82607.02</x:v>
      </x:c>
      <x:c r="N118" s="8" t="n">
        <x:v>0</x:v>
      </x:c>
      <x:c r="O118" s="8" t="n">
        <x:f>N118*'Resumen'!$B$8</x:f>
        <x:v>0</x:v>
      </x:c>
      <x:c r="P118" s="8" t="n">
        <x:f>M118+O118</x:f>
        <x:v>82607.02</x:v>
      </x:c>
      <x:c r="Q118" s="8" t="n">
        <x:f>P118-H118</x:f>
        <x:v>49150.9</x:v>
      </x:c>
      <x:c r="R118" s="8" t="n">
        <x:v>0</x:v>
      </x:c>
      <x:c r="S118" s="8" t="n">
        <x:f>R118*'Resumen'!$B$8</x:f>
        <x:v>0</x:v>
      </x:c>
      <x:c r="T118" s="8" t="n">
        <x:f>M118+S118</x:f>
        <x:v>82607.02</x:v>
      </x:c>
      <x:c r="U118" s="8" t="n">
        <x:f>T118-H118</x:f>
        <x:v>49150.9</x:v>
      </x:c>
      <x:c r="V118" s="27" t="n">
        <x:v>0</x:v>
      </x:c>
    </x:row>
    <x:row r="119">
      <x:c r="A119" s="28" t="str">
        <x:v>734364</x:v>
      </x:c>
      <x:c r="B119" s="25" t="n">
        <x:v>5</x:v>
      </x:c>
      <x:c r="C119" s="25" t="n">
        <x:v>4022</x:v>
      </x:c>
      <x:c r="D119" s="25" t="n">
        <x:f>IF(B119=0,0,C119/B119)</x:f>
        <x:v>804.4</x:v>
      </x:c>
      <x:c r="E119" s="26" t="n">
        <x:f>IF(D119=0,0,D119/MAX($D$6:$D$337))</x:f>
        <x:v>0.5755110384300899</x:v>
      </x:c>
      <x:c r="F119" s="26" t="n">
        <x:f>IF(B119=0,0,B119/MAX($B$6:$B$337))</x:f>
        <x:v>0.17857142857142858</x:v>
      </x:c>
      <x:c r="G119" s="26" t="n">
        <x:f>'Resumen'!$B$9*E119+'Resumen'!$B$10*F119</x:f>
        <x:v>0.45642915547249147</x:v>
      </x:c>
      <x:c r="H119" s="8" t="n">
        <x:v>29339.67</x:v>
      </x:c>
      <x:c r="I119" s="8" t="n">
        <x:v>20439.159999999996</x:v>
      </x:c>
      <x:c r="J119" s="8" t="n">
        <x:f>MAX(H119-I119,0)</x:f>
        <x:v>8900.510000000002</x:v>
      </x:c>
      <x:c r="K119" s="8" t="n">
        <x:f>J119*G119</x:f>
        <x:v>4062.4522625744657</x:v>
      </x:c>
      <x:c r="L119" s="8" t="n">
        <x:f>IFERROR('Resumen'!$B$14*K119/SUM($K$6:$K$337),0)</x:f>
        <x:v>2942.550090862898</x:v>
      </x:c>
      <x:c r="M119" s="8" t="n">
        <x:f>I119+L119</x:f>
        <x:v>23381.710090862893</x:v>
      </x:c>
      <x:c r="N119" s="8" t="n">
        <x:v>0</x:v>
      </x:c>
      <x:c r="O119" s="8" t="n">
        <x:f>N119*'Resumen'!$B$8</x:f>
        <x:v>0</x:v>
      </x:c>
      <x:c r="P119" s="8" t="n">
        <x:f>M119+O119</x:f>
        <x:v>23381.710090862893</x:v>
      </x:c>
      <x:c r="Q119" s="8" t="n">
        <x:f>P119-H119</x:f>
        <x:v>-5957.959909137106</x:v>
      </x:c>
      <x:c r="R119" s="8" t="n">
        <x:v>0</x:v>
      </x:c>
      <x:c r="S119" s="8" t="n">
        <x:f>R119*'Resumen'!$B$8</x:f>
        <x:v>0</x:v>
      </x:c>
      <x:c r="T119" s="8" t="n">
        <x:f>M119+S119</x:f>
        <x:v>23381.710090862893</x:v>
      </x:c>
      <x:c r="U119" s="8" t="n">
        <x:f>T119-H119</x:f>
        <x:v>-5957.959909137106</x:v>
      </x:c>
      <x:c r="V119" s="27" t="n">
        <x:v>0</x:v>
      </x:c>
    </x:row>
    <x:row r="120">
      <x:c r="A120" s="28" t="str">
        <x:v>734380</x:v>
      </x:c>
      <x:c r="B120" s="25" t="n">
        <x:v>5</x:v>
      </x:c>
      <x:c r="C120" s="25" t="n">
        <x:v>4625</x:v>
      </x:c>
      <x:c r="D120" s="25" t="n">
        <x:f>IF(B120=0,0,C120/B120)</x:f>
        <x:v>925</x:v>
      </x:c>
      <x:c r="E120" s="26" t="n">
        <x:f>IF(D120=0,0,D120/MAX($D$6:$D$337))</x:f>
        <x:v>0.6617947669664759</x:v>
      </x:c>
      <x:c r="F120" s="26" t="n">
        <x:f>IF(B120=0,0,B120/MAX($B$6:$B$337))</x:f>
        <x:v>0.17857142857142858</x:v>
      </x:c>
      <x:c r="G120" s="26" t="n">
        <x:f>'Resumen'!$B$9*E120+'Resumen'!$B$10*F120</x:f>
        <x:v>0.5168277654479616</x:v>
      </x:c>
      <x:c r="H120" s="8" t="n">
        <x:v>57981.700000000004</x:v>
      </x:c>
      <x:c r="I120" s="8" t="n">
        <x:v>39235.36</x:v>
      </x:c>
      <x:c r="J120" s="8" t="n">
        <x:f>MAX(H120-I120,0)</x:f>
        <x:v>18746.340000000004</x:v>
      </x:c>
      <x:c r="K120" s="8" t="n">
        <x:f>J120*G120</x:f>
        <x:v>9688.629012527743</x:v>
      </x:c>
      <x:c r="L120" s="8" t="n">
        <x:f>IFERROR('Resumen'!$B$14*K120/SUM($K$6:$K$337),0)</x:f>
        <x:v>7017.750446889795</x:v>
      </x:c>
      <x:c r="M120" s="8" t="n">
        <x:f>I120+L120</x:f>
        <x:v>46253.1104468898</x:v>
      </x:c>
      <x:c r="N120" s="8" t="n">
        <x:v>0</x:v>
      </x:c>
      <x:c r="O120" s="8" t="n">
        <x:f>N120*'Resumen'!$B$8</x:f>
        <x:v>0</x:v>
      </x:c>
      <x:c r="P120" s="8" t="n">
        <x:f>M120+O120</x:f>
        <x:v>46253.1104468898</x:v>
      </x:c>
      <x:c r="Q120" s="8" t="n">
        <x:f>P120-H120</x:f>
        <x:v>-11728.589553110207</x:v>
      </x:c>
      <x:c r="R120" s="8" t="n">
        <x:v>0</x:v>
      </x:c>
      <x:c r="S120" s="8" t="n">
        <x:f>R120*'Resumen'!$B$8</x:f>
        <x:v>0</x:v>
      </x:c>
      <x:c r="T120" s="8" t="n">
        <x:f>M120+S120</x:f>
        <x:v>46253.1104468898</x:v>
      </x:c>
      <x:c r="U120" s="8" t="n">
        <x:f>T120-H120</x:f>
        <x:v>-11728.589553110207</x:v>
      </x:c>
      <x:c r="V120" s="27" t="n">
        <x:v>0</x:v>
      </x:c>
    </x:row>
    <x:row r="121">
      <x:c r="A121" s="28" t="str">
        <x:v>734387</x:v>
      </x:c>
      <x:c r="B121" s="25" t="n">
        <x:v>11</x:v>
      </x:c>
      <x:c r="C121" s="25" t="n">
        <x:v>10939</x:v>
      </x:c>
      <x:c r="D121" s="25" t="n">
        <x:f>IF(B121=0,0,C121/B121)</x:f>
        <x:v>994.4545454545455</x:v>
      </x:c>
      <x:c r="E121" s="26" t="n">
        <x:f>IF(D121=0,0,D121/MAX($D$6:$D$337))</x:f>
        <x:v>0.7114862855868579</x:v>
      </x:c>
      <x:c r="F121" s="26" t="n">
        <x:f>IF(B121=0,0,B121/MAX($B$6:$B$337))</x:f>
        <x:v>0.39285714285714285</x:v>
      </x:c>
      <x:c r="G121" s="26" t="n">
        <x:f>'Resumen'!$B$9*E121+'Resumen'!$B$10*F121</x:f>
        <x:v>0.6158975427679434</x:v>
      </x:c>
      <x:c r="H121" s="8" t="n">
        <x:v>180669.63</x:v>
      </x:c>
      <x:c r="I121" s="8" t="n">
        <x:v>132818.72999999998</x:v>
      </x:c>
      <x:c r="J121" s="8" t="n">
        <x:f>MAX(H121-I121,0)</x:f>
        <x:v>47850.90000000002</x:v>
      </x:c>
      <x:c r="K121" s="8" t="n">
        <x:f>J121*G121</x:f>
        <x:v>29471.2517292346</x:v>
      </x:c>
      <x:c r="L121" s="8" t="n">
        <x:f>IFERROR('Resumen'!$B$14*K121/SUM($K$6:$K$337),0)</x:f>
        <x:v>21346.868553415523</x:v>
      </x:c>
      <x:c r="M121" s="8" t="n">
        <x:f>I121+L121</x:f>
        <x:v>154165.5985534155</x:v>
      </x:c>
      <x:c r="N121" s="8" t="n">
        <x:v>0</x:v>
      </x:c>
      <x:c r="O121" s="8" t="n">
        <x:f>N121*'Resumen'!$B$8</x:f>
        <x:v>0</x:v>
      </x:c>
      <x:c r="P121" s="8" t="n">
        <x:f>M121+O121</x:f>
        <x:v>154165.5985534155</x:v>
      </x:c>
      <x:c r="Q121" s="8" t="n">
        <x:f>P121-H121</x:f>
        <x:v>-26504.0314465845</x:v>
      </x:c>
      <x:c r="R121" s="8" t="n">
        <x:v>0</x:v>
      </x:c>
      <x:c r="S121" s="8" t="n">
        <x:f>R121*'Resumen'!$B$8</x:f>
        <x:v>0</x:v>
      </x:c>
      <x:c r="T121" s="8" t="n">
        <x:f>M121+S121</x:f>
        <x:v>154165.5985534155</x:v>
      </x:c>
      <x:c r="U121" s="8" t="n">
        <x:f>T121-H121</x:f>
        <x:v>-26504.0314465845</x:v>
      </x:c>
      <x:c r="V121" s="27" t="n">
        <x:v>0</x:v>
      </x:c>
    </x:row>
    <x:row r="122">
      <x:c r="A122" s="28" t="str">
        <x:v>734430</x:v>
      </x:c>
      <x:c r="B122" s="25" t="n">
        <x:v>14</x:v>
      </x:c>
      <x:c r="C122" s="25" t="n">
        <x:v>13564</x:v>
      </x:c>
      <x:c r="D122" s="25" t="n">
        <x:f>IF(B122=0,0,C122/B122)</x:f>
        <x:v>968.8571428571429</x:v>
      </x:c>
      <x:c r="E122" s="26" t="n">
        <x:f>IF(D122=0,0,D122/MAX($D$6:$D$337))</x:f>
        <x:v>0.6931725265739983</x:v>
      </x:c>
      <x:c r="F122" s="26" t="n">
        <x:f>IF(B122=0,0,B122/MAX($B$6:$B$337))</x:f>
        <x:v>0.5</x:v>
      </x:c>
      <x:c r="G122" s="26" t="n">
        <x:f>'Resumen'!$B$9*E122+'Resumen'!$B$10*F122</x:f>
        <x:v>0.6352207686017988</x:v>
      </x:c>
      <x:c r="H122" s="8" t="n">
        <x:v>119209.79000000001</x:v>
      </x:c>
      <x:c r="I122" s="8" t="n">
        <x:v>151835.06</x:v>
      </x:c>
      <x:c r="J122" s="8" t="n">
        <x:f>MAX(H122-I122,0)</x:f>
        <x:v>0</x:v>
      </x:c>
      <x:c r="K122" s="8" t="n">
        <x:f>J122*G122</x:f>
        <x:v>0</x:v>
      </x:c>
      <x:c r="L122" s="8" t="n">
        <x:f>IFERROR('Resumen'!$B$14*K122/SUM($K$6:$K$337),0)</x:f>
        <x:v>0</x:v>
      </x:c>
      <x:c r="M122" s="8" t="n">
        <x:f>I122+L122</x:f>
        <x:v>151835.06</x:v>
      </x:c>
      <x:c r="N122" s="8" t="n">
        <x:v>0</x:v>
      </x:c>
      <x:c r="O122" s="8" t="n">
        <x:f>N122*'Resumen'!$B$8</x:f>
        <x:v>0</x:v>
      </x:c>
      <x:c r="P122" s="8" t="n">
        <x:f>M122+O122</x:f>
        <x:v>151835.06</x:v>
      </x:c>
      <x:c r="Q122" s="8" t="n">
        <x:f>P122-H122</x:f>
        <x:v>32625.26999999999</x:v>
      </x:c>
      <x:c r="R122" s="8" t="n">
        <x:v>0</x:v>
      </x:c>
      <x:c r="S122" s="8" t="n">
        <x:f>R122*'Resumen'!$B$8</x:f>
        <x:v>0</x:v>
      </x:c>
      <x:c r="T122" s="8" t="n">
        <x:f>M122+S122</x:f>
        <x:v>151835.06</x:v>
      </x:c>
      <x:c r="U122" s="8" t="n">
        <x:f>T122-H122</x:f>
        <x:v>32625.26999999999</x:v>
      </x:c>
      <x:c r="V122" s="27" t="n">
        <x:v>0</x:v>
      </x:c>
    </x:row>
    <x:row r="123">
      <x:c r="A123" s="28" t="str">
        <x:v>734432</x:v>
      </x:c>
      <x:c r="B123" s="25" t="n">
        <x:v>16</x:v>
      </x:c>
      <x:c r="C123" s="25" t="n">
        <x:v>14464</x:v>
      </x:c>
      <x:c r="D123" s="25" t="n">
        <x:f>IF(B123=0,0,C123/B123)</x:f>
        <x:v>904</x:v>
      </x:c>
      <x:c r="E123" s="26" t="n">
        <x:f>IF(D123=0,0,D123/MAX($D$6:$D$337))</x:f>
        <x:v>0.6467702371218316</x:v>
      </x:c>
      <x:c r="F123" s="26" t="n">
        <x:f>IF(B123=0,0,B123/MAX($B$6:$B$337))</x:f>
        <x:v>0.5714285714285714</x:v>
      </x:c>
      <x:c r="G123" s="26" t="n">
        <x:f>'Resumen'!$B$9*E123+'Resumen'!$B$10*F123</x:f>
        <x:v>0.6241677374138535</x:v>
      </x:c>
      <x:c r="H123" s="8" t="n">
        <x:v>146254.97999999998</x:v>
      </x:c>
      <x:c r="I123" s="8" t="n">
        <x:v>105183.23999999999</x:v>
      </x:c>
      <x:c r="J123" s="8" t="n">
        <x:f>MAX(H123-I123,0)</x:f>
        <x:v>41071.73999999999</x:v>
      </x:c>
      <x:c r="K123" s="8" t="n">
        <x:f>J123*G123</x:f>
        <x:v>25635.655027450055</x:v>
      </x:c>
      <x:c r="L123" s="8" t="n">
        <x:f>IFERROR('Resumen'!$B$14*K123/SUM($K$6:$K$337),0)</x:f>
        <x:v>18568.636418277256</x:v>
      </x:c>
      <x:c r="M123" s="8" t="n">
        <x:f>I123+L123</x:f>
        <x:v>123751.87641827724</x:v>
      </x:c>
      <x:c r="N123" s="8" t="n">
        <x:v>0</x:v>
      </x:c>
      <x:c r="O123" s="8" t="n">
        <x:f>N123*'Resumen'!$B$8</x:f>
        <x:v>0</x:v>
      </x:c>
      <x:c r="P123" s="8" t="n">
        <x:f>M123+O123</x:f>
        <x:v>123751.87641827724</x:v>
      </x:c>
      <x:c r="Q123" s="8" t="n">
        <x:f>P123-H123</x:f>
        <x:v>-22503.10358172274</x:v>
      </x:c>
      <x:c r="R123" s="8" t="n">
        <x:v>0</x:v>
      </x:c>
      <x:c r="S123" s="8" t="n">
        <x:f>R123*'Resumen'!$B$8</x:f>
        <x:v>0</x:v>
      </x:c>
      <x:c r="T123" s="8" t="n">
        <x:f>M123+S123</x:f>
        <x:v>123751.87641827724</x:v>
      </x:c>
      <x:c r="U123" s="8" t="n">
        <x:f>T123-H123</x:f>
        <x:v>-22503.10358172274</x:v>
      </x:c>
      <x:c r="V123" s="27" t="n">
        <x:v>0</x:v>
      </x:c>
    </x:row>
    <x:row r="124">
      <x:c r="A124" s="28" t="str">
        <x:v>734433</x:v>
      </x:c>
      <x:c r="B124" s="25" t="n">
        <x:v>11</x:v>
      </x:c>
      <x:c r="C124" s="25" t="n">
        <x:v>10825</x:v>
      </x:c>
      <x:c r="D124" s="25" t="n">
        <x:f>IF(B124=0,0,C124/B124)</x:f>
        <x:v>984.0909090909091</x:v>
      </x:c>
      <x:c r="E124" s="26" t="n">
        <x:f>IF(D124=0,0,D124/MAX($D$6:$D$337))</x:f>
        <x:v>0.7040715825466438</x:v>
      </x:c>
      <x:c r="F124" s="26" t="n">
        <x:f>IF(B124=0,0,B124/MAX($B$6:$B$337))</x:f>
        <x:v>0.39285714285714285</x:v>
      </x:c>
      <x:c r="G124" s="26" t="n">
        <x:f>'Resumen'!$B$9*E124+'Resumen'!$B$10*F124</x:f>
        <x:v>0.6107072506397935</x:v>
      </x:c>
      <x:c r="H124" s="8" t="n">
        <x:v>146624.46000000002</x:v>
      </x:c>
      <x:c r="I124" s="8" t="n">
        <x:v>107303.68</x:v>
      </x:c>
      <x:c r="J124" s="8" t="n">
        <x:f>MAX(H124-I124,0)</x:f>
        <x:v>39320.78000000003</x:v>
      </x:c>
      <x:c r="K124" s="8" t="n">
        <x:f>J124*G124</x:f>
        <x:v>24013.485446812196</x:v>
      </x:c>
      <x:c r="L124" s="8" t="n">
        <x:f>IFERROR('Resumen'!$B$14*K124/SUM($K$6:$K$337),0)</x:f>
        <x:v>17393.652704406853</x:v>
      </x:c>
      <x:c r="M124" s="8" t="n">
        <x:f>I124+L124</x:f>
        <x:v>124697.33270440684</x:v>
      </x:c>
      <x:c r="N124" s="8" t="n">
        <x:v>0</x:v>
      </x:c>
      <x:c r="O124" s="8" t="n">
        <x:f>N124*'Resumen'!$B$8</x:f>
        <x:v>0</x:v>
      </x:c>
      <x:c r="P124" s="8" t="n">
        <x:f>M124+O124</x:f>
        <x:v>124697.33270440684</x:v>
      </x:c>
      <x:c r="Q124" s="8" t="n">
        <x:f>P124-H124</x:f>
        <x:v>-21927.127295593178</x:v>
      </x:c>
      <x:c r="R124" s="8" t="n">
        <x:v>0</x:v>
      </x:c>
      <x:c r="S124" s="8" t="n">
        <x:f>R124*'Resumen'!$B$8</x:f>
        <x:v>0</x:v>
      </x:c>
      <x:c r="T124" s="8" t="n">
        <x:f>M124+S124</x:f>
        <x:v>124697.33270440684</x:v>
      </x:c>
      <x:c r="U124" s="8" t="n">
        <x:f>T124-H124</x:f>
        <x:v>-21927.127295593178</x:v>
      </x:c>
      <x:c r="V124" s="27" t="n">
        <x:v>0</x:v>
      </x:c>
    </x:row>
    <x:row r="125">
      <x:c r="A125" s="28" t="str">
        <x:v>734435</x:v>
      </x:c>
      <x:c r="B125" s="25" t="n">
        <x:v>17</x:v>
      </x:c>
      <x:c r="C125" s="25" t="n">
        <x:v>19684</x:v>
      </x:c>
      <x:c r="D125" s="25" t="n">
        <x:f>IF(B125=0,0,C125/B125)</x:f>
        <x:v>1157.8823529411766</x:v>
      </x:c>
      <x:c r="E125" s="26" t="n">
        <x:f>IF(D125=0,0,D125/MAX($D$6:$D$337))</x:f>
        <x:v>0.828411331826271</x:v>
      </x:c>
      <x:c r="F125" s="26" t="n">
        <x:f>IF(B125=0,0,B125/MAX($B$6:$B$337))</x:f>
        <x:v>0.6071428571428571</x:v>
      </x:c>
      <x:c r="G125" s="26" t="n">
        <x:f>'Resumen'!$B$9*E125+'Resumen'!$B$10*F125</x:f>
        <x:v>0.7620307894212468</x:v>
      </x:c>
      <x:c r="H125" s="8" t="n">
        <x:v>300661.66</x:v>
      </x:c>
      <x:c r="I125" s="8" t="n">
        <x:v>218175.15999999995</x:v>
      </x:c>
      <x:c r="J125" s="8" t="n">
        <x:f>MAX(H125-I125,0)</x:f>
        <x:v>82486.50000000003</x:v>
      </x:c>
      <x:c r="K125" s="8" t="n">
        <x:f>J125*G125</x:f>
        <x:v>62857.2527115957</x:v>
      </x:c>
      <x:c r="L125" s="8" t="n">
        <x:f>IFERROR('Resumen'!$B$14*K125/SUM($K$6:$K$337),0)</x:f>
        <x:v>45529.30169342702</x:v>
      </x:c>
      <x:c r="M125" s="8" t="n">
        <x:f>I125+L125</x:f>
        <x:v>263704.46169342694</x:v>
      </x:c>
      <x:c r="N125" s="8" t="n">
        <x:v>0</x:v>
      </x:c>
      <x:c r="O125" s="8" t="n">
        <x:f>N125*'Resumen'!$B$8</x:f>
        <x:v>0</x:v>
      </x:c>
      <x:c r="P125" s="8" t="n">
        <x:f>M125+O125</x:f>
        <x:v>263704.46169342694</x:v>
      </x:c>
      <x:c r="Q125" s="8" t="n">
        <x:f>P125-H125</x:f>
        <x:v>-36957.19830657303</x:v>
      </x:c>
      <x:c r="R125" s="8" t="n">
        <x:v>0</x:v>
      </x:c>
      <x:c r="S125" s="8" t="n">
        <x:f>R125*'Resumen'!$B$8</x:f>
        <x:v>0</x:v>
      </x:c>
      <x:c r="T125" s="8" t="n">
        <x:f>M125+S125</x:f>
        <x:v>263704.46169342694</x:v>
      </x:c>
      <x:c r="U125" s="8" t="n">
        <x:f>T125-H125</x:f>
        <x:v>-36957.19830657303</x:v>
      </x:c>
      <x:c r="V125" s="27" t="n">
        <x:v>0</x:v>
      </x:c>
    </x:row>
    <x:row r="126">
      <x:c r="A126" s="28" t="str">
        <x:v>734438</x:v>
      </x:c>
      <x:c r="B126" s="25" t="n">
        <x:v>26</x:v>
      </x:c>
      <x:c r="C126" s="25" t="n">
        <x:v>35043</x:v>
      </x:c>
      <x:c r="D126" s="25" t="n">
        <x:f>IF(B126=0,0,C126/B126)</x:f>
        <x:v>1347.8076923076924</x:v>
      </x:c>
      <x:c r="E126" s="26" t="n">
        <x:f>IF(D126=0,0,D126/MAX($D$6:$D$337))</x:f>
        <x:v>0.9642941379961004</x:v>
      </x:c>
      <x:c r="F126" s="26" t="n">
        <x:f>IF(B126=0,0,B126/MAX($B$6:$B$337))</x:f>
        <x:v>0.9285714285714286</x:v>
      </x:c>
      <x:c r="G126" s="26" t="n">
        <x:f>'Resumen'!$B$9*E126+'Resumen'!$B$10*F126</x:f>
        <x:v>0.9535773251686989</x:v>
      </x:c>
      <x:c r="H126" s="8" t="n">
        <x:v>713604.62</x:v>
      </x:c>
      <x:c r="I126" s="8" t="n">
        <x:v>438126.49</x:v>
      </x:c>
      <x:c r="J126" s="8" t="n">
        <x:f>MAX(H126-I126,0)</x:f>
        <x:v>275478.13</x:v>
      </x:c>
      <x:c r="K126" s="8" t="n">
        <x:f>J126*G126</x:f>
        <x:v>262689.6983478751</x:v>
      </x:c>
      <x:c r="L126" s="8" t="n">
        <x:f>IFERROR('Resumen'!$B$14*K126/SUM($K$6:$K$337),0)</x:f>
        <x:v>190273.6440409109</x:v>
      </x:c>
      <x:c r="M126" s="8" t="n">
        <x:f>I126+L126</x:f>
        <x:v>628400.1340409109</x:v>
      </x:c>
      <x:c r="N126" s="8" t="n">
        <x:v>0</x:v>
      </x:c>
      <x:c r="O126" s="8" t="n">
        <x:f>N126*'Resumen'!$B$8</x:f>
        <x:v>0</x:v>
      </x:c>
      <x:c r="P126" s="8" t="n">
        <x:f>M126+O126</x:f>
        <x:v>628400.1340409109</x:v>
      </x:c>
      <x:c r="Q126" s="8" t="n">
        <x:f>P126-H126</x:f>
        <x:v>-85204.48595908913</x:v>
      </x:c>
      <x:c r="R126" s="8" t="n">
        <x:v>0</x:v>
      </x:c>
      <x:c r="S126" s="8" t="n">
        <x:f>R126*'Resumen'!$B$8</x:f>
        <x:v>0</x:v>
      </x:c>
      <x:c r="T126" s="8" t="n">
        <x:f>M126+S126</x:f>
        <x:v>628400.1340409109</x:v>
      </x:c>
      <x:c r="U126" s="8" t="n">
        <x:f>T126-H126</x:f>
        <x:v>-85204.48595908913</x:v>
      </x:c>
      <x:c r="V126" s="27" t="n">
        <x:v>0</x:v>
      </x:c>
    </x:row>
    <x:row r="127">
      <x:c r="A127" s="28" t="str">
        <x:v>734439</x:v>
      </x:c>
      <x:c r="B127" s="25" t="n">
        <x:v>12</x:v>
      </x:c>
      <x:c r="C127" s="25" t="n">
        <x:v>10234</x:v>
      </x:c>
      <x:c r="D127" s="25" t="n">
        <x:f>IF(B127=0,0,C127/B127)</x:f>
        <x:v>852.8333333333334</x:v>
      </x:c>
      <x:c r="E127" s="26" t="n">
        <x:f>IF(D127=0,0,D127/MAX($D$6:$D$337))</x:f>
        <x:v>0.6101628509130553</x:v>
      </x:c>
      <x:c r="F127" s="26" t="n">
        <x:f>IF(B127=0,0,B127/MAX($B$6:$B$337))</x:f>
        <x:v>0.42857142857142855</x:v>
      </x:c>
      <x:c r="G127" s="26" t="n">
        <x:f>'Resumen'!$B$9*E127+'Resumen'!$B$10*F127</x:f>
        <x:v>0.5556854242105673</x:v>
      </x:c>
      <x:c r="H127" s="8" t="n">
        <x:v>77023.51000000001</x:v>
      </x:c>
      <x:c r="I127" s="8" t="n">
        <x:v>95676.62</x:v>
      </x:c>
      <x:c r="J127" s="8" t="n">
        <x:f>MAX(H127-I127,0)</x:f>
        <x:v>0</x:v>
      </x:c>
      <x:c r="K127" s="8" t="n">
        <x:f>J127*G127</x:f>
        <x:v>0</x:v>
      </x:c>
      <x:c r="L127" s="8" t="n">
        <x:f>IFERROR('Resumen'!$B$14*K127/SUM($K$6:$K$337),0)</x:f>
        <x:v>0</x:v>
      </x:c>
      <x:c r="M127" s="8" t="n">
        <x:f>I127+L127</x:f>
        <x:v>95676.62</x:v>
      </x:c>
      <x:c r="N127" s="8" t="n">
        <x:v>0</x:v>
      </x:c>
      <x:c r="O127" s="8" t="n">
        <x:f>N127*'Resumen'!$B$8</x:f>
        <x:v>0</x:v>
      </x:c>
      <x:c r="P127" s="8" t="n">
        <x:f>M127+O127</x:f>
        <x:v>95676.62</x:v>
      </x:c>
      <x:c r="Q127" s="8" t="n">
        <x:f>P127-H127</x:f>
        <x:v>18653.109999999986</x:v>
      </x:c>
      <x:c r="R127" s="8" t="n">
        <x:v>0</x:v>
      </x:c>
      <x:c r="S127" s="8" t="n">
        <x:f>R127*'Resumen'!$B$8</x:f>
        <x:v>0</x:v>
      </x:c>
      <x:c r="T127" s="8" t="n">
        <x:f>M127+S127</x:f>
        <x:v>95676.62</x:v>
      </x:c>
      <x:c r="U127" s="8" t="n">
        <x:f>T127-H127</x:f>
        <x:v>18653.109999999986</x:v>
      </x:c>
      <x:c r="V127" s="27" t="n">
        <x:v>0</x:v>
      </x:c>
    </x:row>
    <x:row r="128">
      <x:c r="A128" s="28" t="str">
        <x:v>734440</x:v>
      </x:c>
      <x:c r="B128" s="25" t="n">
        <x:v>10</x:v>
      </x:c>
      <x:c r="C128" s="25" t="n">
        <x:v>11259</x:v>
      </x:c>
      <x:c r="D128" s="25" t="n">
        <x:f>IF(B128=0,0,C128/B128)</x:f>
        <x:v>1125.9</x:v>
      </x:c>
      <x:c r="E128" s="26" t="n">
        <x:f>IF(D128=0,0,D128/MAX($D$6:$D$337))</x:f>
        <x:v>0.8055294358135732</x:v>
      </x:c>
      <x:c r="F128" s="26" t="n">
        <x:f>IF(B128=0,0,B128/MAX($B$6:$B$337))</x:f>
        <x:v>0.35714285714285715</x:v>
      </x:c>
      <x:c r="G128" s="26" t="n">
        <x:f>'Resumen'!$B$9*E128+'Resumen'!$B$10*F128</x:f>
        <x:v>0.6710134622123582</x:v>
      </x:c>
      <x:c r="H128" s="8" t="n">
        <x:v>171848.43000000002</x:v>
      </x:c>
      <x:c r="I128" s="8" t="n">
        <x:v>178614.31</x:v>
      </x:c>
      <x:c r="J128" s="8" t="n">
        <x:f>MAX(H128-I128,0)</x:f>
        <x:v>0</x:v>
      </x:c>
      <x:c r="K128" s="8" t="n">
        <x:f>J128*G128</x:f>
        <x:v>0</x:v>
      </x:c>
      <x:c r="L128" s="8" t="n">
        <x:f>IFERROR('Resumen'!$B$14*K128/SUM($K$6:$K$337),0)</x:f>
        <x:v>0</x:v>
      </x:c>
      <x:c r="M128" s="8" t="n">
        <x:f>I128+L128</x:f>
        <x:v>178614.31</x:v>
      </x:c>
      <x:c r="N128" s="8" t="n">
        <x:v>0</x:v>
      </x:c>
      <x:c r="O128" s="8" t="n">
        <x:f>N128*'Resumen'!$B$8</x:f>
        <x:v>0</x:v>
      </x:c>
      <x:c r="P128" s="8" t="n">
        <x:f>M128+O128</x:f>
        <x:v>178614.31</x:v>
      </x:c>
      <x:c r="Q128" s="8" t="n">
        <x:f>P128-H128</x:f>
        <x:v>6765.879999999976</x:v>
      </x:c>
      <x:c r="R128" s="8" t="n">
        <x:v>0</x:v>
      </x:c>
      <x:c r="S128" s="8" t="n">
        <x:f>R128*'Resumen'!$B$8</x:f>
        <x:v>0</x:v>
      </x:c>
      <x:c r="T128" s="8" t="n">
        <x:f>M128+S128</x:f>
        <x:v>178614.31</x:v>
      </x:c>
      <x:c r="U128" s="8" t="n">
        <x:f>T128-H128</x:f>
        <x:v>6765.879999999976</x:v>
      </x:c>
      <x:c r="V128" s="27" t="n">
        <x:v>0</x:v>
      </x:c>
    </x:row>
    <x:row r="129">
      <x:c r="A129" s="28" t="str">
        <x:v>734479</x:v>
      </x:c>
      <x:c r="B129" s="25" t="n">
        <x:v>13</x:v>
      </x:c>
      <x:c r="C129" s="25" t="n">
        <x:v>11624</x:v>
      </x:c>
      <x:c r="D129" s="25" t="n">
        <x:f>IF(B129=0,0,C129/B129)</x:f>
        <x:v>894.1538461538462</x:v>
      </x:c>
      <x:c r="E129" s="26" t="n">
        <x:f>IF(D129=0,0,D129/MAX($D$6:$D$337))</x:f>
        <x:v>0.6397257689162841</x:v>
      </x:c>
      <x:c r="F129" s="26" t="n">
        <x:f>IF(B129=0,0,B129/MAX($B$6:$B$337))</x:f>
        <x:v>0.4642857142857143</x:v>
      </x:c>
      <x:c r="G129" s="26" t="n">
        <x:f>'Resumen'!$B$9*E129+'Resumen'!$B$10*F129</x:f>
        <x:v>0.5870937525271132</x:v>
      </x:c>
      <x:c r="H129" s="8" t="n">
        <x:v>112512.53999999998</x:v>
      </x:c>
      <x:c r="I129" s="8" t="n">
        <x:v>80113.61</x:v>
      </x:c>
      <x:c r="J129" s="8" t="n">
        <x:f>MAX(H129-I129,0)</x:f>
        <x:v>32398.92999999998</x:v>
      </x:c>
      <x:c r="K129" s="8" t="n">
        <x:f>J129*G129</x:f>
        <x:v>19021.20939156325</x:v>
      </x:c>
      <x:c r="L129" s="8" t="n">
        <x:f>IFERROR('Resumen'!$B$14*K129/SUM($K$6:$K$337),0)</x:f>
        <x:v>13777.604709131198</x:v>
      </x:c>
      <x:c r="M129" s="8" t="n">
        <x:f>I129+L129</x:f>
        <x:v>93891.21470913119</x:v>
      </x:c>
      <x:c r="N129" s="8" t="n">
        <x:v>0</x:v>
      </x:c>
      <x:c r="O129" s="8" t="n">
        <x:f>N129*'Resumen'!$B$8</x:f>
        <x:v>0</x:v>
      </x:c>
      <x:c r="P129" s="8" t="n">
        <x:f>M129+O129</x:f>
        <x:v>93891.21470913119</x:v>
      </x:c>
      <x:c r="Q129" s="8" t="n">
        <x:f>P129-H129</x:f>
        <x:v>-18621.325290868786</x:v>
      </x:c>
      <x:c r="R129" s="8" t="n">
        <x:v>0</x:v>
      </x:c>
      <x:c r="S129" s="8" t="n">
        <x:f>R129*'Resumen'!$B$8</x:f>
        <x:v>0</x:v>
      </x:c>
      <x:c r="T129" s="8" t="n">
        <x:f>M129+S129</x:f>
        <x:v>93891.21470913119</x:v>
      </x:c>
      <x:c r="U129" s="8" t="n">
        <x:f>T129-H129</x:f>
        <x:v>-18621.325290868786</x:v>
      </x:c>
      <x:c r="V129" s="27" t="n">
        <x:v>0</x:v>
      </x:c>
    </x:row>
    <x:row r="130">
      <x:c r="A130" s="28" t="str">
        <x:v>734485</x:v>
      </x:c>
      <x:c r="B130" s="25" t="n">
        <x:v>16</x:v>
      </x:c>
      <x:c r="C130" s="25" t="n">
        <x:v>12787</x:v>
      </x:c>
      <x:c r="D130" s="25" t="n">
        <x:f>IF(B130=0,0,C130/B130)</x:f>
        <x:v>799.1875</x:v>
      </x:c>
      <x:c r="E130" s="26" t="n">
        <x:f>IF(D130=0,0,D130/MAX($D$6:$D$337))</x:f>
        <x:v>0.5717817354865086</x:v>
      </x:c>
      <x:c r="F130" s="26" t="n">
        <x:f>IF(B130=0,0,B130/MAX($B$6:$B$337))</x:f>
        <x:v>0.5714285714285714</x:v>
      </x:c>
      <x:c r="G130" s="26" t="n">
        <x:f>'Resumen'!$B$9*E130+'Resumen'!$B$10*F130</x:f>
        <x:v>0.5716757862691274</x:v>
      </x:c>
      <x:c r="H130" s="8" t="n">
        <x:v>117386.03</x:v>
      </x:c>
      <x:c r="I130" s="8" t="n">
        <x:v>96904.41</x:v>
      </x:c>
      <x:c r="J130" s="8" t="n">
        <x:f>MAX(H130-I130,0)</x:f>
        <x:v>20481.619999999995</x:v>
      </x:c>
      <x:c r="K130" s="8" t="n">
        <x:f>J130*G130</x:f>
        <x:v>11708.846217565482</x:v>
      </x:c>
      <x:c r="L130" s="8" t="n">
        <x:f>IFERROR('Resumen'!$B$14*K130/SUM($K$6:$K$337),0)</x:f>
        <x:v>8481.051412912562</x:v>
      </x:c>
      <x:c r="M130" s="8" t="n">
        <x:f>I130+L130</x:f>
        <x:v>105385.46141291257</x:v>
      </x:c>
      <x:c r="N130" s="8" t="n">
        <x:v>0</x:v>
      </x:c>
      <x:c r="O130" s="8" t="n">
        <x:f>N130*'Resumen'!$B$8</x:f>
        <x:v>0</x:v>
      </x:c>
      <x:c r="P130" s="8" t="n">
        <x:f>M130+O130</x:f>
        <x:v>105385.46141291257</x:v>
      </x:c>
      <x:c r="Q130" s="8" t="n">
        <x:f>P130-H130</x:f>
        <x:v>-12000.56858708743</x:v>
      </x:c>
      <x:c r="R130" s="8" t="n">
        <x:v>0</x:v>
      </x:c>
      <x:c r="S130" s="8" t="n">
        <x:f>R130*'Resumen'!$B$8</x:f>
        <x:v>0</x:v>
      </x:c>
      <x:c r="T130" s="8" t="n">
        <x:f>M130+S130</x:f>
        <x:v>105385.46141291257</x:v>
      </x:c>
      <x:c r="U130" s="8" t="n">
        <x:f>T130-H130</x:f>
        <x:v>-12000.56858708743</x:v>
      </x:c>
      <x:c r="V130" s="27" t="n">
        <x:v>0</x:v>
      </x:c>
    </x:row>
    <x:row r="131">
      <x:c r="A131" s="28" t="str">
        <x:v>734609</x:v>
      </x:c>
      <x:c r="B131" s="25" t="n">
        <x:v>1</x:v>
      </x:c>
      <x:c r="C131" s="25" t="n">
        <x:v>485</x:v>
      </x:c>
      <x:c r="D131" s="25" t="n">
        <x:f>IF(B131=0,0,C131/B131)</x:f>
        <x:v>485</x:v>
      </x:c>
      <x:c r="E131" s="26" t="n">
        <x:f>IF(D131=0,0,D131/MAX($D$6:$D$337))</x:f>
        <x:v>0.3469950940310711</x:v>
      </x:c>
      <x:c r="F131" s="26" t="n">
        <x:f>IF(B131=0,0,B131/MAX($B$6:$B$337))</x:f>
        <x:v>0.03571428571428571</x:v>
      </x:c>
      <x:c r="G131" s="26" t="n">
        <x:f>'Resumen'!$B$9*E131+'Resumen'!$B$10*F131</x:f>
        <x:v>0.25361085153603546</x:v>
      </x:c>
      <x:c r="H131" s="8" t="n">
        <x:v>6607.11</x:v>
      </x:c>
      <x:c r="I131" s="8" t="n">
        <x:v>7606.15</x:v>
      </x:c>
      <x:c r="J131" s="8" t="n">
        <x:f>MAX(H131-I131,0)</x:f>
        <x:v>0</x:v>
      </x:c>
      <x:c r="K131" s="8" t="n">
        <x:f>J131*G131</x:f>
        <x:v>0</x:v>
      </x:c>
      <x:c r="L131" s="8" t="n">
        <x:f>IFERROR('Resumen'!$B$14*K131/SUM($K$6:$K$337),0)</x:f>
        <x:v>0</x:v>
      </x:c>
      <x:c r="M131" s="8" t="n">
        <x:f>I131+L131</x:f>
        <x:v>7606.15</x:v>
      </x:c>
      <x:c r="N131" s="8" t="n">
        <x:v>0</x:v>
      </x:c>
      <x:c r="O131" s="8" t="n">
        <x:f>N131*'Resumen'!$B$8</x:f>
        <x:v>0</x:v>
      </x:c>
      <x:c r="P131" s="8" t="n">
        <x:f>M131+O131</x:f>
        <x:v>7606.15</x:v>
      </x:c>
      <x:c r="Q131" s="8" t="n">
        <x:f>P131-H131</x:f>
        <x:v>999.04</x:v>
      </x:c>
      <x:c r="R131" s="8" t="n">
        <x:v>0</x:v>
      </x:c>
      <x:c r="S131" s="8" t="n">
        <x:f>R131*'Resumen'!$B$8</x:f>
        <x:v>0</x:v>
      </x:c>
      <x:c r="T131" s="8" t="n">
        <x:f>M131+S131</x:f>
        <x:v>7606.15</x:v>
      </x:c>
      <x:c r="U131" s="8" t="n">
        <x:f>T131-H131</x:f>
        <x:v>999.04</x:v>
      </x:c>
      <x:c r="V131" s="27" t="n">
        <x:v>0</x:v>
      </x:c>
    </x:row>
    <x:row r="132">
      <x:c r="A132" s="28" t="str">
        <x:v>734611</x:v>
      </x:c>
      <x:c r="B132" s="25" t="n">
        <x:v>16</x:v>
      </x:c>
      <x:c r="C132" s="25" t="n">
        <x:v>11596</x:v>
      </x:c>
      <x:c r="D132" s="25" t="n">
        <x:f>IF(B132=0,0,C132/B132)</x:f>
        <x:v>724.75</x:v>
      </x:c>
      <x:c r="E132" s="26" t="n">
        <x:f>IF(D132=0,0,D132/MAX($D$6:$D$337))</x:f>
        <x:v>0.5185251430907604</x:v>
      </x:c>
      <x:c r="F132" s="26" t="n">
        <x:f>IF(B132=0,0,B132/MAX($B$6:$B$337))</x:f>
        <x:v>0.5714285714285714</x:v>
      </x:c>
      <x:c r="G132" s="26" t="n">
        <x:f>'Resumen'!$B$9*E132+'Resumen'!$B$10*F132</x:f>
        <x:v>0.5343961715921036</x:v>
      </x:c>
      <x:c r="H132" s="8" t="n">
        <x:v>86535.69</x:v>
      </x:c>
      <x:c r="I132" s="8" t="n">
        <x:v>80863.78</x:v>
      </x:c>
      <x:c r="J132" s="8" t="n">
        <x:f>MAX(H132-I132,0)</x:f>
        <x:v>5671.9100000000035</x:v>
      </x:c>
      <x:c r="K132" s="8" t="n">
        <x:f>J132*G132</x:f>
        <x:v>3031.0469896149702</x:v>
      </x:c>
      <x:c r="L132" s="8" t="n">
        <x:f>IFERROR('Resumen'!$B$14*K132/SUM($K$6:$K$337),0)</x:f>
        <x:v>2195.473821777064</x:v>
      </x:c>
      <x:c r="M132" s="8" t="n">
        <x:f>I132+L132</x:f>
        <x:v>83059.25382177706</x:v>
      </x:c>
      <x:c r="N132" s="8" t="n">
        <x:v>0</x:v>
      </x:c>
      <x:c r="O132" s="8" t="n">
        <x:f>N132*'Resumen'!$B$8</x:f>
        <x:v>0</x:v>
      </x:c>
      <x:c r="P132" s="8" t="n">
        <x:f>M132+O132</x:f>
        <x:v>83059.25382177706</x:v>
      </x:c>
      <x:c r="Q132" s="8" t="n">
        <x:f>P132-H132</x:f>
        <x:v>-3476.436178222939</x:v>
      </x:c>
      <x:c r="R132" s="8" t="n">
        <x:v>0</x:v>
      </x:c>
      <x:c r="S132" s="8" t="n">
        <x:f>R132*'Resumen'!$B$8</x:f>
        <x:v>0</x:v>
      </x:c>
      <x:c r="T132" s="8" t="n">
        <x:f>M132+S132</x:f>
        <x:v>83059.25382177706</x:v>
      </x:c>
      <x:c r="U132" s="8" t="n">
        <x:f>T132-H132</x:f>
        <x:v>-3476.436178222939</x:v>
      </x:c>
      <x:c r="V132" s="27" t="n">
        <x:v>0</x:v>
      </x:c>
    </x:row>
    <x:row r="133">
      <x:c r="A133" s="28" t="str">
        <x:v>734716</x:v>
      </x:c>
      <x:c r="B133" s="25" t="n">
        <x:v>15</x:v>
      </x:c>
      <x:c r="C133" s="25" t="n">
        <x:v>13012</x:v>
      </x:c>
      <x:c r="D133" s="25" t="n">
        <x:f>IF(B133=0,0,C133/B133)</x:f>
        <x:v>867.4666666666667</x:v>
      </x:c>
      <x:c r="E133" s="26" t="n">
        <x:f>IF(D133=0,0,D133/MAX($D$6:$D$337))</x:f>
        <x:v>0.6206323248841646</x:v>
      </x:c>
      <x:c r="F133" s="26" t="n">
        <x:f>IF(B133=0,0,B133/MAX($B$6:$B$337))</x:f>
        <x:v>0.5357142857142857</x:v>
      </x:c>
      <x:c r="G133" s="26" t="n">
        <x:f>'Resumen'!$B$9*E133+'Resumen'!$B$10*F133</x:f>
        <x:v>0.5951569131332008</x:v>
      </x:c>
      <x:c r="H133" s="8" t="n">
        <x:v>124479.74999999999</x:v>
      </x:c>
      <x:c r="I133" s="8" t="n">
        <x:v>95212.49</x:v>
      </x:c>
      <x:c r="J133" s="8" t="n">
        <x:f>MAX(H133-I133,0)</x:f>
        <x:v>29267.25999999998</x:v>
      </x:c>
      <x:c r="K133" s="8" t="n">
        <x:f>J133*G133</x:f>
        <x:v>17418.612117466793</x:v>
      </x:c>
      <x:c r="L133" s="8" t="n">
        <x:f>IFERROR('Resumen'!$B$14*K133/SUM($K$6:$K$337),0)</x:f>
        <x:v>12616.797775360434</x:v>
      </x:c>
      <x:c r="M133" s="8" t="n">
        <x:f>I133+L133</x:f>
        <x:v>107829.28777536044</x:v>
      </x:c>
      <x:c r="N133" s="8" t="n">
        <x:v>0</x:v>
      </x:c>
      <x:c r="O133" s="8" t="n">
        <x:f>N133*'Resumen'!$B$8</x:f>
        <x:v>0</x:v>
      </x:c>
      <x:c r="P133" s="8" t="n">
        <x:f>M133+O133</x:f>
        <x:v>107829.28777536044</x:v>
      </x:c>
      <x:c r="Q133" s="8" t="n">
        <x:f>P133-H133</x:f>
        <x:v>-16650.462224639545</x:v>
      </x:c>
      <x:c r="R133" s="8" t="n">
        <x:v>0</x:v>
      </x:c>
      <x:c r="S133" s="8" t="n">
        <x:f>R133*'Resumen'!$B$8</x:f>
        <x:v>0</x:v>
      </x:c>
      <x:c r="T133" s="8" t="n">
        <x:f>M133+S133</x:f>
        <x:v>107829.28777536044</x:v>
      </x:c>
      <x:c r="U133" s="8" t="n">
        <x:f>T133-H133</x:f>
        <x:v>-16650.462224639545</x:v>
      </x:c>
      <x:c r="V133" s="27" t="n">
        <x:v>0</x:v>
      </x:c>
    </x:row>
    <x:row r="134">
      <x:c r="A134" s="28" t="str">
        <x:v>734721</x:v>
      </x:c>
      <x:c r="B134" s="25" t="n">
        <x:v>4</x:v>
      </x:c>
      <x:c r="C134" s="25" t="n">
        <x:v>2449</x:v>
      </x:c>
      <x:c r="D134" s="25" t="n">
        <x:f>IF(B134=0,0,C134/B134)</x:f>
        <x:v>612.25</x:v>
      </x:c>
      <x:c r="E134" s="26" t="n">
        <x:f>IF(D134=0,0,D134/MAX($D$6:$D$337))</x:f>
        <x:v>0.4380365903515944</x:v>
      </x:c>
      <x:c r="F134" s="26" t="n">
        <x:f>IF(B134=0,0,B134/MAX($B$6:$B$337))</x:f>
        <x:v>0.14285714285714285</x:v>
      </x:c>
      <x:c r="G134" s="26" t="n">
        <x:f>'Resumen'!$B$9*E134+'Resumen'!$B$10*F134</x:f>
        <x:v>0.34948275610325896</x:v>
      </x:c>
      <x:c r="H134" s="8" t="n">
        <x:v>0</x:v>
      </x:c>
      <x:c r="I134" s="8" t="n">
        <x:v>27963.589999999997</x:v>
      </x:c>
      <x:c r="J134" s="8" t="n">
        <x:f>MAX(H134-I134,0)</x:f>
        <x:v>0</x:v>
      </x:c>
      <x:c r="K134" s="8" t="n">
        <x:f>J134*G134</x:f>
        <x:v>0</x:v>
      </x:c>
      <x:c r="L134" s="8" t="n">
        <x:f>IFERROR('Resumen'!$B$14*K134/SUM($K$6:$K$337),0)</x:f>
        <x:v>0</x:v>
      </x:c>
      <x:c r="M134" s="8" t="n">
        <x:f>I134+L134</x:f>
        <x:v>27963.589999999997</x:v>
      </x:c>
      <x:c r="N134" s="8" t="n">
        <x:v>0</x:v>
      </x:c>
      <x:c r="O134" s="8" t="n">
        <x:f>N134*'Resumen'!$B$8</x:f>
        <x:v>0</x:v>
      </x:c>
      <x:c r="P134" s="8" t="n">
        <x:f>M134+O134</x:f>
        <x:v>27963.589999999997</x:v>
      </x:c>
      <x:c r="Q134" s="8" t="n">
        <x:f>P134-H134</x:f>
        <x:v>27963.589999999997</x:v>
      </x:c>
      <x:c r="R134" s="8" t="n">
        <x:v>0</x:v>
      </x:c>
      <x:c r="S134" s="8" t="n">
        <x:f>R134*'Resumen'!$B$8</x:f>
        <x:v>0</x:v>
      </x:c>
      <x:c r="T134" s="8" t="n">
        <x:f>M134+S134</x:f>
        <x:v>27963.589999999997</x:v>
      </x:c>
      <x:c r="U134" s="8" t="n">
        <x:f>T134-H134</x:f>
        <x:v>27963.589999999997</x:v>
      </x:c>
      <x:c r="V134" s="27" t="n">
        <x:v>0</x:v>
      </x:c>
    </x:row>
    <x:row r="135">
      <x:c r="A135" s="28" t="str">
        <x:v>734722</x:v>
      </x:c>
      <x:c r="B135" s="25" t="n">
        <x:v>27</x:v>
      </x:c>
      <x:c r="C135" s="25" t="n">
        <x:v>30946</x:v>
      </x:c>
      <x:c r="D135" s="25" t="n">
        <x:f>IF(B135=0,0,C135/B135)</x:f>
        <x:v>1146.148148148148</x:v>
      </x:c>
      <x:c r="E135" s="26" t="n">
        <x:f>IF(D135=0,0,D135/MAX($D$6:$D$337))</x:f>
        <x:v>0.8200160503921745</x:v>
      </x:c>
      <x:c r="F135" s="26" t="n">
        <x:f>IF(B135=0,0,B135/MAX($B$6:$B$337))</x:f>
        <x:v>0.9642857142857143</x:v>
      </x:c>
      <x:c r="G135" s="26" t="n">
        <x:f>'Resumen'!$B$9*E135+'Resumen'!$B$10*F135</x:f>
        <x:v>0.8632969495602364</x:v>
      </x:c>
      <x:c r="H135" s="8" t="n">
        <x:v>439783.2599999999</x:v>
      </x:c>
      <x:c r="I135" s="8" t="n">
        <x:v>333373.95999999996</x:v>
      </x:c>
      <x:c r="J135" s="8" t="n">
        <x:f>MAX(H135-I135,0)</x:f>
        <x:v>106409.29999999993</x:v>
      </x:c>
      <x:c r="K135" s="8" t="n">
        <x:f>J135*G135</x:f>
        <x:v>91862.82409484</x:v>
      </x:c>
      <x:c r="L135" s="8" t="n">
        <x:f>IFERROR('Resumen'!$B$14*K135/SUM($K$6:$K$337),0)</x:f>
        <x:v>66538.86468462569</x:v>
      </x:c>
      <x:c r="M135" s="8" t="n">
        <x:f>I135+L135</x:f>
        <x:v>399912.82468462567</x:v>
      </x:c>
      <x:c r="N135" s="8" t="n">
        <x:v>0</x:v>
      </x:c>
      <x:c r="O135" s="8" t="n">
        <x:f>N135*'Resumen'!$B$8</x:f>
        <x:v>0</x:v>
      </x:c>
      <x:c r="P135" s="8" t="n">
        <x:f>M135+O135</x:f>
        <x:v>399912.82468462567</x:v>
      </x:c>
      <x:c r="Q135" s="8" t="n">
        <x:f>P135-H135</x:f>
        <x:v>-39870.43531537423</x:v>
      </x:c>
      <x:c r="R135" s="8" t="n">
        <x:v>0</x:v>
      </x:c>
      <x:c r="S135" s="8" t="n">
        <x:f>R135*'Resumen'!$B$8</x:f>
        <x:v>0</x:v>
      </x:c>
      <x:c r="T135" s="8" t="n">
        <x:f>M135+S135</x:f>
        <x:v>399912.82468462567</x:v>
      </x:c>
      <x:c r="U135" s="8" t="n">
        <x:f>T135-H135</x:f>
        <x:v>-39870.43531537423</x:v>
      </x:c>
      <x:c r="V135" s="27" t="n">
        <x:v>0</x:v>
      </x:c>
    </x:row>
    <x:row r="136">
      <x:c r="A136" s="28" t="str">
        <x:v>734725</x:v>
      </x:c>
      <x:c r="B136" s="25" t="n">
        <x:v>25</x:v>
      </x:c>
      <x:c r="C136" s="25" t="n">
        <x:v>29090</x:v>
      </x:c>
      <x:c r="D136" s="25" t="n">
        <x:f>IF(B136=0,0,C136/B136)</x:f>
        <x:v>1163.6</x:v>
      </x:c>
      <x:c r="E136" s="26" t="n">
        <x:f>IF(D136=0,0,D136/MAX($D$6:$D$337))</x:f>
        <x:v>0.8325020441537203</x:v>
      </x:c>
      <x:c r="F136" s="26" t="n">
        <x:f>IF(B136=0,0,B136/MAX($B$6:$B$337))</x:f>
        <x:v>0.8928571428571429</x:v>
      </x:c>
      <x:c r="G136" s="26" t="n">
        <x:f>'Resumen'!$B$9*E136+'Resumen'!$B$10*F136</x:f>
        <x:v>0.8506085737647471</x:v>
      </x:c>
      <x:c r="H136" s="8" t="n">
        <x:v>404848.5300000001</x:v>
      </x:c>
      <x:c r="I136" s="8" t="n">
        <x:v>357809.79</x:v>
      </x:c>
      <x:c r="J136" s="8" t="n">
        <x:f>MAX(H136-I136,0)</x:f>
        <x:v>47038.74000000011</x:v>
      </x:c>
      <x:c r="K136" s="8" t="n">
        <x:f>J136*G136</x:f>
        <x:v>40011.55554309085</x:v>
      </x:c>
      <x:c r="L136" s="8" t="n">
        <x:f>IFERROR('Resumen'!$B$14*K136/SUM($K$6:$K$337),0)</x:f>
        <x:v>28981.511360400815</x:v>
      </x:c>
      <x:c r="M136" s="8" t="n">
        <x:f>I136+L136</x:f>
        <x:v>386791.3013604008</x:v>
      </x:c>
      <x:c r="N136" s="8" t="n">
        <x:v>0</x:v>
      </x:c>
      <x:c r="O136" s="8" t="n">
        <x:f>N136*'Resumen'!$B$8</x:f>
        <x:v>0</x:v>
      </x:c>
      <x:c r="P136" s="8" t="n">
        <x:f>M136+O136</x:f>
        <x:v>386791.3013604008</x:v>
      </x:c>
      <x:c r="Q136" s="8" t="n">
        <x:f>P136-H136</x:f>
        <x:v>-18057.228639599285</x:v>
      </x:c>
      <x:c r="R136" s="8" t="n">
        <x:v>0</x:v>
      </x:c>
      <x:c r="S136" s="8" t="n">
        <x:f>R136*'Resumen'!$B$8</x:f>
        <x:v>0</x:v>
      </x:c>
      <x:c r="T136" s="8" t="n">
        <x:f>M136+S136</x:f>
        <x:v>386791.3013604008</x:v>
      </x:c>
      <x:c r="U136" s="8" t="n">
        <x:f>T136-H136</x:f>
        <x:v>-18057.228639599285</x:v>
      </x:c>
      <x:c r="V136" s="27" t="n">
        <x:v>0</x:v>
      </x:c>
    </x:row>
    <x:row r="137">
      <x:c r="A137" s="28" t="str">
        <x:v>734726</x:v>
      </x:c>
      <x:c r="B137" s="25" t="n">
        <x:v>27</x:v>
      </x:c>
      <x:c r="C137" s="25" t="n">
        <x:v>30503</x:v>
      </x:c>
      <x:c r="D137" s="25" t="n">
        <x:f>IF(B137=0,0,C137/B137)</x:f>
        <x:v>1129.7407407407406</x:v>
      </x:c>
      <x:c r="E137" s="26" t="n">
        <x:f>IF(D137=0,0,D137/MAX($D$6:$D$337))</x:f>
        <x:v>0.808277308379516</x:v>
      </x:c>
      <x:c r="F137" s="26" t="n">
        <x:f>IF(B137=0,0,B137/MAX($B$6:$B$337))</x:f>
        <x:v>0.9642857142857143</x:v>
      </x:c>
      <x:c r="G137" s="26" t="n">
        <x:f>'Resumen'!$B$9*E137+'Resumen'!$B$10*F137</x:f>
        <x:v>0.8550798301513753</x:v>
      </x:c>
      <x:c r="H137" s="8" t="n">
        <x:v>213533.43</x:v>
      </x:c>
      <x:c r="I137" s="8" t="n">
        <x:v>314032.58</x:v>
      </x:c>
      <x:c r="J137" s="8" t="n">
        <x:f>MAX(H137-I137,0)</x:f>
        <x:v>0</x:v>
      </x:c>
      <x:c r="K137" s="8" t="n">
        <x:f>J137*G137</x:f>
        <x:v>0</x:v>
      </x:c>
      <x:c r="L137" s="8" t="n">
        <x:f>IFERROR('Resumen'!$B$14*K137/SUM($K$6:$K$337),0)</x:f>
        <x:v>0</x:v>
      </x:c>
      <x:c r="M137" s="8" t="n">
        <x:f>I137+L137</x:f>
        <x:v>314032.58</x:v>
      </x:c>
      <x:c r="N137" s="8" t="n">
        <x:v>0</x:v>
      </x:c>
      <x:c r="O137" s="8" t="n">
        <x:f>N137*'Resumen'!$B$8</x:f>
        <x:v>0</x:v>
      </x:c>
      <x:c r="P137" s="8" t="n">
        <x:f>M137+O137</x:f>
        <x:v>314032.58</x:v>
      </x:c>
      <x:c r="Q137" s="8" t="n">
        <x:f>P137-H137</x:f>
        <x:v>100499.15000000002</x:v>
      </x:c>
      <x:c r="R137" s="8" t="n">
        <x:v>0</x:v>
      </x:c>
      <x:c r="S137" s="8" t="n">
        <x:f>R137*'Resumen'!$B$8</x:f>
        <x:v>0</x:v>
      </x:c>
      <x:c r="T137" s="8" t="n">
        <x:f>M137+S137</x:f>
        <x:v>314032.58</x:v>
      </x:c>
      <x:c r="U137" s="8" t="n">
        <x:f>T137-H137</x:f>
        <x:v>100499.15000000002</x:v>
      </x:c>
      <x:c r="V137" s="27" t="n">
        <x:v>0</x:v>
      </x:c>
    </x:row>
    <x:row r="138">
      <x:c r="A138" s="28" t="str">
        <x:v>734792</x:v>
      </x:c>
      <x:c r="B138" s="25" t="n">
        <x:v>26</x:v>
      </x:c>
      <x:c r="C138" s="25" t="n">
        <x:v>23170</x:v>
      </x:c>
      <x:c r="D138" s="25" t="n">
        <x:f>IF(B138=0,0,C138/B138)</x:f>
        <x:v>891.1538461538462</x:v>
      </x:c>
      <x:c r="E138" s="26" t="n">
        <x:f>IF(D138=0,0,D138/MAX($D$6:$D$337))</x:f>
        <x:v>0.6375794075099063</x:v>
      </x:c>
      <x:c r="F138" s="26" t="n">
        <x:f>IF(B138=0,0,B138/MAX($B$6:$B$337))</x:f>
        <x:v>0.9285714285714286</x:v>
      </x:c>
      <x:c r="G138" s="26" t="n">
        <x:f>'Resumen'!$B$9*E138+'Resumen'!$B$10*F138</x:f>
        <x:v>0.7248770138283629</x:v>
      </x:c>
      <x:c r="H138" s="8" t="n">
        <x:v>318871.22000000003</x:v>
      </x:c>
      <x:c r="I138" s="8" t="n">
        <x:v>200818.90000000002</x:v>
      </x:c>
      <x:c r="J138" s="8" t="n">
        <x:f>MAX(H138-I138,0)</x:f>
        <x:v>118052.32</x:v>
      </x:c>
      <x:c r="K138" s="8" t="n">
        <x:f>J138*G138</x:f>
        <x:v>85573.41319711032</x:v>
      </x:c>
      <x:c r="L138" s="8" t="n">
        <x:f>IFERROR('Resumen'!$B$14*K138/SUM($K$6:$K$337),0)</x:f>
        <x:v>61983.264910793434</x:v>
      </x:c>
      <x:c r="M138" s="8" t="n">
        <x:f>I138+L138</x:f>
        <x:v>262802.1649107935</x:v>
      </x:c>
      <x:c r="N138" s="8" t="n">
        <x:v>0</x:v>
      </x:c>
      <x:c r="O138" s="8" t="n">
        <x:f>N138*'Resumen'!$B$8</x:f>
        <x:v>0</x:v>
      </x:c>
      <x:c r="P138" s="8" t="n">
        <x:f>M138+O138</x:f>
        <x:v>262802.1649107935</x:v>
      </x:c>
      <x:c r="Q138" s="8" t="n">
        <x:f>P138-H138</x:f>
        <x:v>-56069.05508920655</x:v>
      </x:c>
      <x:c r="R138" s="8" t="n">
        <x:v>0</x:v>
      </x:c>
      <x:c r="S138" s="8" t="n">
        <x:f>R138*'Resumen'!$B$8</x:f>
        <x:v>0</x:v>
      </x:c>
      <x:c r="T138" s="8" t="n">
        <x:f>M138+S138</x:f>
        <x:v>262802.1649107935</x:v>
      </x:c>
      <x:c r="U138" s="8" t="n">
        <x:f>T138-H138</x:f>
        <x:v>-56069.05508920655</x:v>
      </x:c>
      <x:c r="V138" s="27" t="n">
        <x:v>0</x:v>
      </x:c>
    </x:row>
    <x:row r="139">
      <x:c r="A139" s="28" t="str">
        <x:v>734864</x:v>
      </x:c>
      <x:c r="B139" s="25" t="n">
        <x:v>26</x:v>
      </x:c>
      <x:c r="C139" s="25" t="n">
        <x:v>17767</x:v>
      </x:c>
      <x:c r="D139" s="25" t="n">
        <x:f>IF(B139=0,0,C139/B139)</x:f>
        <x:v>683.3461538461538</x:v>
      </x:c>
      <x:c r="E139" s="26" t="n">
        <x:f>IF(D139=0,0,D139/MAX($D$6:$D$337))</x:f>
        <x:v>0.4889026039373545</x:v>
      </x:c>
      <x:c r="F139" s="26" t="n">
        <x:f>IF(B139=0,0,B139/MAX($B$6:$B$337))</x:f>
        <x:v>0.9285714285714286</x:v>
      </x:c>
      <x:c r="G139" s="26" t="n">
        <x:f>'Resumen'!$B$9*E139+'Resumen'!$B$10*F139</x:f>
        <x:v>0.6208032513275767</x:v>
      </x:c>
      <x:c r="H139" s="8" t="n">
        <x:v>93044.36</x:v>
      </x:c>
      <x:c r="I139" s="8" t="n">
        <x:v>146110.27999999997</x:v>
      </x:c>
      <x:c r="J139" s="8" t="n">
        <x:f>MAX(H139-I139,0)</x:f>
        <x:v>0</x:v>
      </x:c>
      <x:c r="K139" s="8" t="n">
        <x:f>J139*G139</x:f>
        <x:v>0</x:v>
      </x:c>
      <x:c r="L139" s="8" t="n">
        <x:f>IFERROR('Resumen'!$B$14*K139/SUM($K$6:$K$337),0)</x:f>
        <x:v>0</x:v>
      </x:c>
      <x:c r="M139" s="8" t="n">
        <x:f>I139+L139</x:f>
        <x:v>146110.27999999997</x:v>
      </x:c>
      <x:c r="N139" s="8" t="n">
        <x:v>0</x:v>
      </x:c>
      <x:c r="O139" s="8" t="n">
        <x:f>N139*'Resumen'!$B$8</x:f>
        <x:v>0</x:v>
      </x:c>
      <x:c r="P139" s="8" t="n">
        <x:f>M139+O139</x:f>
        <x:v>146110.27999999997</x:v>
      </x:c>
      <x:c r="Q139" s="8" t="n">
        <x:f>P139-H139</x:f>
        <x:v>53065.91999999997</x:v>
      </x:c>
      <x:c r="R139" s="8" t="n">
        <x:v>0</x:v>
      </x:c>
      <x:c r="S139" s="8" t="n">
        <x:f>R139*'Resumen'!$B$8</x:f>
        <x:v>0</x:v>
      </x:c>
      <x:c r="T139" s="8" t="n">
        <x:f>M139+S139</x:f>
        <x:v>146110.27999999997</x:v>
      </x:c>
      <x:c r="U139" s="8" t="n">
        <x:f>T139-H139</x:f>
        <x:v>53065.91999999997</x:v>
      </x:c>
      <x:c r="V139" s="27" t="n">
        <x:v>0</x:v>
      </x:c>
    </x:row>
    <x:row r="140">
      <x:c r="A140" s="28" t="str">
        <x:v>734865</x:v>
      </x:c>
      <x:c r="B140" s="25" t="n">
        <x:v>25</x:v>
      </x:c>
      <x:c r="C140" s="25" t="n">
        <x:v>21653</x:v>
      </x:c>
      <x:c r="D140" s="25" t="n">
        <x:f>IF(B140=0,0,C140/B140)</x:f>
        <x:v>866.12</x:v>
      </x:c>
      <x:c r="E140" s="26" t="n">
        <x:f>IF(D140=0,0,D140/MAX($D$6:$D$337))</x:f>
        <x:v>0.6196688470973017</x:v>
      </x:c>
      <x:c r="F140" s="26" t="n">
        <x:f>IF(B140=0,0,B140/MAX($B$6:$B$337))</x:f>
        <x:v>0.8928571428571429</x:v>
      </x:c>
      <x:c r="G140" s="26" t="n">
        <x:f>'Resumen'!$B$9*E140+'Resumen'!$B$10*F140</x:f>
        <x:v>0.701625335825254</x:v>
      </x:c>
      <x:c r="H140" s="8" t="n">
        <x:v>311293.43</x:v>
      </x:c>
      <x:c r="I140" s="8" t="n">
        <x:v>208033.40000000005</x:v>
      </x:c>
      <x:c r="J140" s="8" t="n">
        <x:f>MAX(H140-I140,0)</x:f>
        <x:v>103260.02999999994</x:v>
      </x:c>
      <x:c r="K140" s="8" t="n">
        <x:f>J140*G140</x:f>
        <x:v>72449.85322607576</x:v>
      </x:c>
      <x:c r="L140" s="8" t="n">
        <x:f>IFERROR('Resumen'!$B$14*K140/SUM($K$6:$K$337),0)</x:f>
        <x:v>52477.49595912577</x:v>
      </x:c>
      <x:c r="M140" s="8" t="n">
        <x:f>I140+L140</x:f>
        <x:v>260510.89595912583</x:v>
      </x:c>
      <x:c r="N140" s="8" t="n">
        <x:v>0</x:v>
      </x:c>
      <x:c r="O140" s="8" t="n">
        <x:f>N140*'Resumen'!$B$8</x:f>
        <x:v>0</x:v>
      </x:c>
      <x:c r="P140" s="8" t="n">
        <x:f>M140+O140</x:f>
        <x:v>260510.89595912583</x:v>
      </x:c>
      <x:c r="Q140" s="8" t="n">
        <x:f>P140-H140</x:f>
        <x:v>-50782.53404087416</x:v>
      </x:c>
      <x:c r="R140" s="8" t="n">
        <x:v>0</x:v>
      </x:c>
      <x:c r="S140" s="8" t="n">
        <x:f>R140*'Resumen'!$B$8</x:f>
        <x:v>0</x:v>
      </x:c>
      <x:c r="T140" s="8" t="n">
        <x:f>M140+S140</x:f>
        <x:v>260510.89595912583</x:v>
      </x:c>
      <x:c r="U140" s="8" t="n">
        <x:f>T140-H140</x:f>
        <x:v>-50782.53404087416</x:v>
      </x:c>
      <x:c r="V140" s="27" t="n">
        <x:v>0</x:v>
      </x:c>
    </x:row>
    <x:row r="141">
      <x:c r="A141" s="28" t="str">
        <x:v>734868</x:v>
      </x:c>
      <x:c r="B141" s="25" t="n">
        <x:v>20</x:v>
      </x:c>
      <x:c r="C141" s="25" t="n">
        <x:v>19578</x:v>
      </x:c>
      <x:c r="D141" s="25" t="n">
        <x:f>IF(B141=0,0,C141/B141)</x:f>
        <x:v>978.9</x:v>
      </x:c>
      <x:c r="E141" s="26" t="n">
        <x:f>IF(D141=0,0,D141/MAX($D$6:$D$337))</x:f>
        <x:v>0.7003577269010629</x:v>
      </x:c>
      <x:c r="F141" s="26" t="n">
        <x:f>IF(B141=0,0,B141/MAX($B$6:$B$337))</x:f>
        <x:v>0.7142857142857143</x:v>
      </x:c>
      <x:c r="G141" s="26" t="n">
        <x:f>'Resumen'!$B$9*E141+'Resumen'!$B$10*F141</x:f>
        <x:v>0.7045361231164583</x:v>
      </x:c>
      <x:c r="H141" s="8" t="n">
        <x:v>164414.65</x:v>
      </x:c>
      <x:c r="I141" s="8" t="n">
        <x:v>177916</x:v>
      </x:c>
      <x:c r="J141" s="8" t="n">
        <x:f>MAX(H141-I141,0)</x:f>
        <x:v>0</x:v>
      </x:c>
      <x:c r="K141" s="8" t="n">
        <x:f>J141*G141</x:f>
        <x:v>0</x:v>
      </x:c>
      <x:c r="L141" s="8" t="n">
        <x:f>IFERROR('Resumen'!$B$14*K141/SUM($K$6:$K$337),0)</x:f>
        <x:v>0</x:v>
      </x:c>
      <x:c r="M141" s="8" t="n">
        <x:f>I141+L141</x:f>
        <x:v>177916</x:v>
      </x:c>
      <x:c r="N141" s="8" t="n">
        <x:v>0</x:v>
      </x:c>
      <x:c r="O141" s="8" t="n">
        <x:f>N141*'Resumen'!$B$8</x:f>
        <x:v>0</x:v>
      </x:c>
      <x:c r="P141" s="8" t="n">
        <x:f>M141+O141</x:f>
        <x:v>177916</x:v>
      </x:c>
      <x:c r="Q141" s="8" t="n">
        <x:f>P141-H141</x:f>
        <x:v>13501.350000000006</x:v>
      </x:c>
      <x:c r="R141" s="8" t="n">
        <x:v>0</x:v>
      </x:c>
      <x:c r="S141" s="8" t="n">
        <x:f>R141*'Resumen'!$B$8</x:f>
        <x:v>0</x:v>
      </x:c>
      <x:c r="T141" s="8" t="n">
        <x:f>M141+S141</x:f>
        <x:v>177916</x:v>
      </x:c>
      <x:c r="U141" s="8" t="n">
        <x:f>T141-H141</x:f>
        <x:v>13501.350000000006</x:v>
      </x:c>
      <x:c r="V141" s="27" t="n">
        <x:v>0</x:v>
      </x:c>
    </x:row>
    <x:row r="142">
      <x:c r="A142" s="28" t="str">
        <x:v>734869</x:v>
      </x:c>
      <x:c r="B142" s="25" t="n">
        <x:v>22</x:v>
      </x:c>
      <x:c r="C142" s="25" t="n">
        <x:v>19058</x:v>
      </x:c>
      <x:c r="D142" s="25" t="n">
        <x:f>IF(B142=0,0,C142/B142)</x:f>
        <x:v>866.2727272727273</x:v>
      </x:c>
      <x:c r="E142" s="26" t="n">
        <x:f>IF(D142=0,0,D142/MAX($D$6:$D$337))</x:f>
        <x:v>0.6197781164052627</x:v>
      </x:c>
      <x:c r="F142" s="26" t="n">
        <x:f>IF(B142=0,0,B142/MAX($B$6:$B$337))</x:f>
        <x:v>0.7857142857142857</x:v>
      </x:c>
      <x:c r="G142" s="26" t="n">
        <x:f>'Resumen'!$B$9*E142+'Resumen'!$B$10*F142</x:f>
        <x:v>0.6695589671979696</x:v>
      </x:c>
      <x:c r="H142" s="8" t="n">
        <x:v>156073.65</x:v>
      </x:c>
      <x:c r="I142" s="8" t="n">
        <x:v>168312.96000000002</x:v>
      </x:c>
      <x:c r="J142" s="8" t="n">
        <x:f>MAX(H142-I142,0)</x:f>
        <x:v>0</x:v>
      </x:c>
      <x:c r="K142" s="8" t="n">
        <x:f>J142*G142</x:f>
        <x:v>0</x:v>
      </x:c>
      <x:c r="L142" s="8" t="n">
        <x:f>IFERROR('Resumen'!$B$14*K142/SUM($K$6:$K$337),0)</x:f>
        <x:v>0</x:v>
      </x:c>
      <x:c r="M142" s="8" t="n">
        <x:f>I142+L142</x:f>
        <x:v>168312.96000000002</x:v>
      </x:c>
      <x:c r="N142" s="8" t="n">
        <x:v>0</x:v>
      </x:c>
      <x:c r="O142" s="8" t="n">
        <x:f>N142*'Resumen'!$B$8</x:f>
        <x:v>0</x:v>
      </x:c>
      <x:c r="P142" s="8" t="n">
        <x:f>M142+O142</x:f>
        <x:v>168312.96000000002</x:v>
      </x:c>
      <x:c r="Q142" s="8" t="n">
        <x:f>P142-H142</x:f>
        <x:v>12239.310000000027</x:v>
      </x:c>
      <x:c r="R142" s="8" t="n">
        <x:v>0</x:v>
      </x:c>
      <x:c r="S142" s="8" t="n">
        <x:f>R142*'Resumen'!$B$8</x:f>
        <x:v>0</x:v>
      </x:c>
      <x:c r="T142" s="8" t="n">
        <x:f>M142+S142</x:f>
        <x:v>168312.96000000002</x:v>
      </x:c>
      <x:c r="U142" s="8" t="n">
        <x:f>T142-H142</x:f>
        <x:v>12239.310000000027</x:v>
      </x:c>
      <x:c r="V142" s="27" t="n">
        <x:v>0</x:v>
      </x:c>
    </x:row>
    <x:row r="143">
      <x:c r="A143" s="28" t="str">
        <x:v>734872</x:v>
      </x:c>
      <x:c r="B143" s="25" t="n">
        <x:v>27</x:v>
      </x:c>
      <x:c r="C143" s="25" t="n">
        <x:v>27872</x:v>
      </x:c>
      <x:c r="D143" s="25" t="n">
        <x:f>IF(B143=0,0,C143/B143)</x:f>
        <x:v>1032.2962962962963</x:v>
      </x:c>
      <x:c r="E143" s="26" t="n">
        <x:f>IF(D143=0,0,D143/MAX($D$6:$D$337))</x:f>
        <x:v>0.7385603101056903</x:v>
      </x:c>
      <x:c r="F143" s="26" t="n">
        <x:f>IF(B143=0,0,B143/MAX($B$6:$B$337))</x:f>
        <x:v>0.9642857142857143</x:v>
      </x:c>
      <x:c r="G143" s="26" t="n">
        <x:f>'Resumen'!$B$9*E143+'Resumen'!$B$10*F143</x:f>
        <x:v>0.8062779313596975</x:v>
      </x:c>
      <x:c r="H143" s="8" t="n">
        <x:v>356965.75999999995</x:v>
      </x:c>
      <x:c r="I143" s="8" t="n">
        <x:v>291567.25</x:v>
      </x:c>
      <x:c r="J143" s="8" t="n">
        <x:f>MAX(H143-I143,0)</x:f>
        <x:v>65398.50999999995</x:v>
      </x:c>
      <x:c r="K143" s="8" t="n">
        <x:f>J143*G143</x:f>
        <x:v>52729.37535680645</x:v>
      </x:c>
      <x:c r="L143" s="8" t="n">
        <x:f>IFERROR('Resumen'!$B$14*K143/SUM($K$6:$K$337),0)</x:f>
        <x:v>38193.39113882586</x:v>
      </x:c>
      <x:c r="M143" s="8" t="n">
        <x:f>I143+L143</x:f>
        <x:v>329760.64113882586</x:v>
      </x:c>
      <x:c r="N143" s="8" t="n">
        <x:v>0</x:v>
      </x:c>
      <x:c r="O143" s="8" t="n">
        <x:f>N143*'Resumen'!$B$8</x:f>
        <x:v>0</x:v>
      </x:c>
      <x:c r="P143" s="8" t="n">
        <x:f>M143+O143</x:f>
        <x:v>329760.64113882586</x:v>
      </x:c>
      <x:c r="Q143" s="8" t="n">
        <x:f>P143-H143</x:f>
        <x:v>-27205.118861174094</x:v>
      </x:c>
      <x:c r="R143" s="8" t="n">
        <x:v>0</x:v>
      </x:c>
      <x:c r="S143" s="8" t="n">
        <x:f>R143*'Resumen'!$B$8</x:f>
        <x:v>0</x:v>
      </x:c>
      <x:c r="T143" s="8" t="n">
        <x:f>M143+S143</x:f>
        <x:v>329760.64113882586</x:v>
      </x:c>
      <x:c r="U143" s="8" t="n">
        <x:f>T143-H143</x:f>
        <x:v>-27205.118861174094</x:v>
      </x:c>
      <x:c r="V143" s="27" t="n">
        <x:v>0</x:v>
      </x:c>
    </x:row>
    <x:row r="144">
      <x:c r="A144" s="28" t="str">
        <x:v>734873</x:v>
      </x:c>
      <x:c r="B144" s="25" t="n">
        <x:v>20</x:v>
      </x:c>
      <x:c r="C144" s="25" t="n">
        <x:v>19848</x:v>
      </x:c>
      <x:c r="D144" s="25" t="n">
        <x:f>IF(B144=0,0,C144/B144)</x:f>
        <x:v>992.4</x:v>
      </x:c>
      <x:c r="E144" s="26" t="n">
        <x:f>IF(D144=0,0,D144/MAX($D$6:$D$337))</x:f>
        <x:v>0.7100163532297629</x:v>
      </x:c>
      <x:c r="F144" s="26" t="n">
        <x:f>IF(B144=0,0,B144/MAX($B$6:$B$337))</x:f>
        <x:v>0.7142857142857143</x:v>
      </x:c>
      <x:c r="G144" s="26" t="n">
        <x:f>'Resumen'!$B$9*E144+'Resumen'!$B$10*F144</x:f>
        <x:v>0.7112971615465482</x:v>
      </x:c>
      <x:c r="H144" s="8" t="n">
        <x:v>226484.91</x:v>
      </x:c>
      <x:c r="I144" s="8" t="n">
        <x:v>192566.97000000003</x:v>
      </x:c>
      <x:c r="J144" s="8" t="n">
        <x:f>MAX(H144-I144,0)</x:f>
        <x:v>33917.93999999997</x:v>
      </x:c>
      <x:c r="K144" s="8" t="n">
        <x:f>J144*G144</x:f>
        <x:v>24125.73444750611</x:v>
      </x:c>
      <x:c r="L144" s="8" t="n">
        <x:f>IFERROR('Resumen'!$B$14*K144/SUM($K$6:$K$337),0)</x:f>
        <x:v>17474.957858496673</x:v>
      </x:c>
      <x:c r="M144" s="8" t="n">
        <x:f>I144+L144</x:f>
        <x:v>210041.9278584967</x:v>
      </x:c>
      <x:c r="N144" s="8" t="n">
        <x:v>0</x:v>
      </x:c>
      <x:c r="O144" s="8" t="n">
        <x:f>N144*'Resumen'!$B$8</x:f>
        <x:v>0</x:v>
      </x:c>
      <x:c r="P144" s="8" t="n">
        <x:f>M144+O144</x:f>
        <x:v>210041.9278584967</x:v>
      </x:c>
      <x:c r="Q144" s="8" t="n">
        <x:f>P144-H144</x:f>
        <x:v>-16442.982141503308</x:v>
      </x:c>
      <x:c r="R144" s="8" t="n">
        <x:v>0</x:v>
      </x:c>
      <x:c r="S144" s="8" t="n">
        <x:f>R144*'Resumen'!$B$8</x:f>
        <x:v>0</x:v>
      </x:c>
      <x:c r="T144" s="8" t="n">
        <x:f>M144+S144</x:f>
        <x:v>210041.9278584967</x:v>
      </x:c>
      <x:c r="U144" s="8" t="n">
        <x:f>T144-H144</x:f>
        <x:v>-16442.982141503308</x:v>
      </x:c>
      <x:c r="V144" s="27" t="n">
        <x:v>0</x:v>
      </x:c>
    </x:row>
    <x:row r="145">
      <x:c r="A145" s="28" t="str">
        <x:v>734875</x:v>
      </x:c>
      <x:c r="B145" s="25" t="n">
        <x:v>23</x:v>
      </x:c>
      <x:c r="C145" s="25" t="n">
        <x:v>26961</x:v>
      </x:c>
      <x:c r="D145" s="25" t="n">
        <x:f>IF(B145=0,0,C145/B145)</x:f>
        <x:v>1172.2173913043478</x:v>
      </x:c>
      <x:c r="E145" s="26" t="n">
        <x:f>IF(D145=0,0,D145/MAX($D$6:$D$337))</x:f>
        <x:v>0.8386673895268227</x:v>
      </x:c>
      <x:c r="F145" s="26" t="n">
        <x:f>IF(B145=0,0,B145/MAX($B$6:$B$337))</x:f>
        <x:v>0.8214285714285714</x:v>
      </x:c>
      <x:c r="G145" s="26" t="n">
        <x:f>'Resumen'!$B$9*E145+'Resumen'!$B$10*F145</x:f>
        <x:v>0.8334957440973473</x:v>
      </x:c>
      <x:c r="H145" s="8" t="n">
        <x:v>423656.7700000001</x:v>
      </x:c>
      <x:c r="I145" s="8" t="n">
        <x:v>300000.64</x:v>
      </x:c>
      <x:c r="J145" s="8" t="n">
        <x:f>MAX(H145-I145,0)</x:f>
        <x:v>123656.13000000006</x:v>
      </x:c>
      <x:c r="K145" s="8" t="n">
        <x:f>J145*G145</x:f>
        <x:v>103066.85808654837</x:v>
      </x:c>
      <x:c r="L145" s="8" t="n">
        <x:f>IFERROR('Resumen'!$B$14*K145/SUM($K$6:$K$337),0)</x:f>
        <x:v>74654.26619815378</x:v>
      </x:c>
      <x:c r="M145" s="8" t="n">
        <x:f>I145+L145</x:f>
        <x:v>374654.9061981538</x:v>
      </x:c>
      <x:c r="N145" s="8" t="n">
        <x:v>0</x:v>
      </x:c>
      <x:c r="O145" s="8" t="n">
        <x:f>N145*'Resumen'!$B$8</x:f>
        <x:v>0</x:v>
      </x:c>
      <x:c r="P145" s="8" t="n">
        <x:f>M145+O145</x:f>
        <x:v>374654.9061981538</x:v>
      </x:c>
      <x:c r="Q145" s="8" t="n">
        <x:f>P145-H145</x:f>
        <x:v>-49001.86380184628</x:v>
      </x:c>
      <x:c r="R145" s="8" t="n">
        <x:v>0</x:v>
      </x:c>
      <x:c r="S145" s="8" t="n">
        <x:f>R145*'Resumen'!$B$8</x:f>
        <x:v>0</x:v>
      </x:c>
      <x:c r="T145" s="8" t="n">
        <x:f>M145+S145</x:f>
        <x:v>374654.9061981538</x:v>
      </x:c>
      <x:c r="U145" s="8" t="n">
        <x:f>T145-H145</x:f>
        <x:v>-49001.86380184628</x:v>
      </x:c>
      <x:c r="V145" s="27" t="n">
        <x:v>0</x:v>
      </x:c>
    </x:row>
    <x:row r="146">
      <x:c r="A146" s="28" t="str">
        <x:v>734876</x:v>
      </x:c>
      <x:c r="B146" s="25" t="n">
        <x:v>24</x:v>
      </x:c>
      <x:c r="C146" s="25" t="n">
        <x:v>21593</x:v>
      </x:c>
      <x:c r="D146" s="25" t="n">
        <x:f>IF(B146=0,0,C146/B146)</x:f>
        <x:v>899.7083333333334</x:v>
      </x:c>
      <x:c r="E146" s="26" t="n">
        <x:f>IF(D146=0,0,D146/MAX($D$6:$D$337))</x:f>
        <x:v>0.6436997478877078</x:v>
      </x:c>
      <x:c r="F146" s="26" t="n">
        <x:f>IF(B146=0,0,B146/MAX($B$6:$B$337))</x:f>
        <x:v>0.8571428571428571</x:v>
      </x:c>
      <x:c r="G146" s="26" t="n">
        <x:f>'Resumen'!$B$9*E146+'Resumen'!$B$10*F146</x:f>
        <x:v>0.7077326806642525</x:v>
      </x:c>
      <x:c r="H146" s="8" t="n">
        <x:v>211594.33999999997</x:v>
      </x:c>
      <x:c r="I146" s="8" t="n">
        <x:v>216566.6</x:v>
      </x:c>
      <x:c r="J146" s="8" t="n">
        <x:f>MAX(H146-I146,0)</x:f>
        <x:v>0</x:v>
      </x:c>
      <x:c r="K146" s="8" t="n">
        <x:f>J146*G146</x:f>
        <x:v>0</x:v>
      </x:c>
      <x:c r="L146" s="8" t="n">
        <x:f>IFERROR('Resumen'!$B$14*K146/SUM($K$6:$K$337),0)</x:f>
        <x:v>0</x:v>
      </x:c>
      <x:c r="M146" s="8" t="n">
        <x:f>I146+L146</x:f>
        <x:v>216566.6</x:v>
      </x:c>
      <x:c r="N146" s="8" t="n">
        <x:v>0</x:v>
      </x:c>
      <x:c r="O146" s="8" t="n">
        <x:f>N146*'Resumen'!$B$8</x:f>
        <x:v>0</x:v>
      </x:c>
      <x:c r="P146" s="8" t="n">
        <x:f>M146+O146</x:f>
        <x:v>216566.6</x:v>
      </x:c>
      <x:c r="Q146" s="8" t="n">
        <x:f>P146-H146</x:f>
        <x:v>4972.260000000038</x:v>
      </x:c>
      <x:c r="R146" s="8" t="n">
        <x:v>0</x:v>
      </x:c>
      <x:c r="S146" s="8" t="n">
        <x:f>R146*'Resumen'!$B$8</x:f>
        <x:v>0</x:v>
      </x:c>
      <x:c r="T146" s="8" t="n">
        <x:f>M146+S146</x:f>
        <x:v>216566.6</x:v>
      </x:c>
      <x:c r="U146" s="8" t="n">
        <x:f>T146-H146</x:f>
        <x:v>4972.260000000038</x:v>
      </x:c>
      <x:c r="V146" s="27" t="n">
        <x:v>0</x:v>
      </x:c>
    </x:row>
    <x:row r="147">
      <x:c r="A147" s="28" t="str">
        <x:v>734878</x:v>
      </x:c>
      <x:c r="B147" s="25" t="n">
        <x:v>20</x:v>
      </x:c>
      <x:c r="C147" s="25" t="n">
        <x:v>14666</x:v>
      </x:c>
      <x:c r="D147" s="25" t="n">
        <x:f>IF(B147=0,0,C147/B147)</x:f>
        <x:v>733.3</x:v>
      </x:c>
      <x:c r="E147" s="26" t="n">
        <x:f>IF(D147=0,0,D147/MAX($D$6:$D$337))</x:f>
        <x:v>0.524642273098937</x:v>
      </x:c>
      <x:c r="F147" s="26" t="n">
        <x:f>IF(B147=0,0,B147/MAX($B$6:$B$337))</x:f>
        <x:v>0.7142857142857143</x:v>
      </x:c>
      <x:c r="G147" s="26" t="n">
        <x:f>'Resumen'!$B$9*E147+'Resumen'!$B$10*F147</x:f>
        <x:v>0.5815353054549701</x:v>
      </x:c>
      <x:c r="H147" s="8" t="n">
        <x:v>112494.04000000001</x:v>
      </x:c>
      <x:c r="I147" s="8" t="n">
        <x:v>95908.92</x:v>
      </x:c>
      <x:c r="J147" s="8" t="n">
        <x:f>MAX(H147-I147,0)</x:f>
        <x:v>16585.12000000001</x:v>
      </x:c>
      <x:c r="K147" s="8" t="n">
        <x:f>J147*G147</x:f>
        <x:v>9644.83282520734</x:v>
      </x:c>
      <x:c r="L147" s="8" t="n">
        <x:f>IFERROR('Resumen'!$B$14*K147/SUM($K$6:$K$337),0)</x:f>
        <x:v>6986.027618743274</x:v>
      </x:c>
      <x:c r="M147" s="8" t="n">
        <x:f>I147+L147</x:f>
        <x:v>102894.94761874327</x:v>
      </x:c>
      <x:c r="N147" s="8" t="n">
        <x:v>0</x:v>
      </x:c>
      <x:c r="O147" s="8" t="n">
        <x:f>N147*'Resumen'!$B$8</x:f>
        <x:v>0</x:v>
      </x:c>
      <x:c r="P147" s="8" t="n">
        <x:f>M147+O147</x:f>
        <x:v>102894.94761874327</x:v>
      </x:c>
      <x:c r="Q147" s="8" t="n">
        <x:f>P147-H147</x:f>
        <x:v>-9599.092381256734</x:v>
      </x:c>
      <x:c r="R147" s="8" t="n">
        <x:v>0</x:v>
      </x:c>
      <x:c r="S147" s="8" t="n">
        <x:f>R147*'Resumen'!$B$8</x:f>
        <x:v>0</x:v>
      </x:c>
      <x:c r="T147" s="8" t="n">
        <x:f>M147+S147</x:f>
        <x:v>102894.94761874327</x:v>
      </x:c>
      <x:c r="U147" s="8" t="n">
        <x:f>T147-H147</x:f>
        <x:v>-9599.092381256734</x:v>
      </x:c>
      <x:c r="V147" s="27" t="n">
        <x:v>0</x:v>
      </x:c>
    </x:row>
    <x:row r="148">
      <x:c r="A148" s="28" t="str">
        <x:v>734881</x:v>
      </x:c>
      <x:c r="B148" s="25" t="n">
        <x:v>18</x:v>
      </x:c>
      <x:c r="C148" s="25" t="n">
        <x:v>16308</x:v>
      </x:c>
      <x:c r="D148" s="25" t="n">
        <x:f>IF(B148=0,0,C148/B148)</x:f>
        <x:v>906</x:v>
      </x:c>
      <x:c r="E148" s="26" t="n">
        <x:f>IF(D148=0,0,D148/MAX($D$6:$D$337))</x:f>
        <x:v>0.6482011447260834</x:v>
      </x:c>
      <x:c r="F148" s="26" t="n">
        <x:f>IF(B148=0,0,B148/MAX($B$6:$B$337))</x:f>
        <x:v>0.6428571428571429</x:v>
      </x:c>
      <x:c r="G148" s="26" t="n">
        <x:f>'Resumen'!$B$9*E148+'Resumen'!$B$10*F148</x:f>
        <x:v>0.6465979441654012</x:v>
      </x:c>
      <x:c r="H148" s="8" t="n">
        <x:v>169616.85999999996</x:v>
      </x:c>
      <x:c r="I148" s="8" t="n">
        <x:v>124514.16999999998</x:v>
      </x:c>
      <x:c r="J148" s="8" t="n">
        <x:f>MAX(H148-I148,0)</x:f>
        <x:v>45102.68999999997</x:v>
      </x:c>
      <x:c r="K148" s="8" t="n">
        <x:f>J148*G148</x:f>
        <x:v>29163.30663032938</x:v>
      </x:c>
      <x:c r="L148" s="8" t="n">
        <x:f>IFERROR('Resumen'!$B$14*K148/SUM($K$6:$K$337),0)</x:f>
        <x:v>21123.81513144372</x:v>
      </x:c>
      <x:c r="M148" s="8" t="n">
        <x:f>I148+L148</x:f>
        <x:v>145637.9851314437</x:v>
      </x:c>
      <x:c r="N148" s="8" t="n">
        <x:v>0</x:v>
      </x:c>
      <x:c r="O148" s="8" t="n">
        <x:f>N148*'Resumen'!$B$8</x:f>
        <x:v>0</x:v>
      </x:c>
      <x:c r="P148" s="8" t="n">
        <x:f>M148+O148</x:f>
        <x:v>145637.9851314437</x:v>
      </x:c>
      <x:c r="Q148" s="8" t="n">
        <x:f>P148-H148</x:f>
        <x:v>-23978.874868556246</x:v>
      </x:c>
      <x:c r="R148" s="8" t="n">
        <x:v>0</x:v>
      </x:c>
      <x:c r="S148" s="8" t="n">
        <x:f>R148*'Resumen'!$B$8</x:f>
        <x:v>0</x:v>
      </x:c>
      <x:c r="T148" s="8" t="n">
        <x:f>M148+S148</x:f>
        <x:v>145637.9851314437</x:v>
      </x:c>
      <x:c r="U148" s="8" t="n">
        <x:f>T148-H148</x:f>
        <x:v>-23978.874868556246</x:v>
      </x:c>
      <x:c r="V148" s="27" t="n">
        <x:v>0</x:v>
      </x:c>
    </x:row>
    <x:row r="149">
      <x:c r="A149" s="28" t="str">
        <x:v>734885</x:v>
      </x:c>
      <x:c r="B149" s="25" t="n">
        <x:v>7</x:v>
      </x:c>
      <x:c r="C149" s="25" t="n">
        <x:v>4661</x:v>
      </x:c>
      <x:c r="D149" s="25" t="n">
        <x:f>IF(B149=0,0,C149/B149)</x:f>
        <x:v>665.8571428571429</x:v>
      </x:c>
      <x:c r="E149" s="26" t="n">
        <x:f>IF(D149=0,0,D149/MAX($D$6:$D$337))</x:f>
        <x:v>0.47639002452984464</x:v>
      </x:c>
      <x:c r="F149" s="26" t="n">
        <x:f>IF(B149=0,0,B149/MAX($B$6:$B$337))</x:f>
        <x:v>0.25</x:v>
      </x:c>
      <x:c r="G149" s="26" t="n">
        <x:f>'Resumen'!$B$9*E149+'Resumen'!$B$10*F149</x:f>
        <x:v>0.40847301717089124</x:v>
      </x:c>
      <x:c r="H149" s="8" t="n">
        <x:v>35917.35</x:v>
      </x:c>
      <x:c r="I149" s="8" t="n">
        <x:v>29267.199999999997</x:v>
      </x:c>
      <x:c r="J149" s="8" t="n">
        <x:f>MAX(H149-I149,0)</x:f>
        <x:v>6650.1500000000015</x:v>
      </x:c>
      <x:c r="K149" s="8" t="n">
        <x:f>J149*G149</x:f>
        <x:v>2716.406835139003</x:v>
      </x:c>
      <x:c r="L149" s="8" t="n">
        <x:f>IFERROR('Resumen'!$B$14*K149/SUM($K$6:$K$337),0)</x:f>
        <x:v>1967.5709800201873</x:v>
      </x:c>
      <x:c r="M149" s="8" t="n">
        <x:f>I149+L149</x:f>
        <x:v>31234.770980020185</x:v>
      </x:c>
      <x:c r="N149" s="8" t="n">
        <x:v>0</x:v>
      </x:c>
      <x:c r="O149" s="8" t="n">
        <x:f>N149*'Resumen'!$B$8</x:f>
        <x:v>0</x:v>
      </x:c>
      <x:c r="P149" s="8" t="n">
        <x:f>M149+O149</x:f>
        <x:v>31234.770980020185</x:v>
      </x:c>
      <x:c r="Q149" s="8" t="n">
        <x:f>P149-H149</x:f>
        <x:v>-4682.579019979814</x:v>
      </x:c>
      <x:c r="R149" s="8" t="n">
        <x:v>0</x:v>
      </x:c>
      <x:c r="S149" s="8" t="n">
        <x:f>R149*'Resumen'!$B$8</x:f>
        <x:v>0</x:v>
      </x:c>
      <x:c r="T149" s="8" t="n">
        <x:f>M149+S149</x:f>
        <x:v>31234.770980020185</x:v>
      </x:c>
      <x:c r="U149" s="8" t="n">
        <x:f>T149-H149</x:f>
        <x:v>-4682.579019979814</x:v>
      </x:c>
      <x:c r="V149" s="27" t="n">
        <x:v>0</x:v>
      </x:c>
    </x:row>
    <x:row r="150">
      <x:c r="A150" s="28" t="str">
        <x:v>734929</x:v>
      </x:c>
      <x:c r="B150" s="25" t="n">
        <x:v>26</x:v>
      </x:c>
      <x:c r="C150" s="25" t="n">
        <x:v>28108</x:v>
      </x:c>
      <x:c r="D150" s="25" t="n">
        <x:f>IF(B150=0,0,C150/B150)</x:f>
        <x:v>1081.076923076923</x:v>
      </x:c>
      <x:c r="E150" s="26" t="n">
        <x:f>IF(D150=0,0,D150/MAX($D$6:$D$337))</x:f>
        <x:v>0.7734605950059752</x:v>
      </x:c>
      <x:c r="F150" s="26" t="n">
        <x:f>IF(B150=0,0,B150/MAX($B$6:$B$337))</x:f>
        <x:v>0.9285714285714286</x:v>
      </x:c>
      <x:c r="G150" s="26" t="n">
        <x:f>'Resumen'!$B$9*E150+'Resumen'!$B$10*F150</x:f>
        <x:v>0.8199938450756111</x:v>
      </x:c>
      <x:c r="H150" s="8" t="n">
        <x:v>447667.18999999994</x:v>
      </x:c>
      <x:c r="I150" s="8" t="n">
        <x:v>264750.37</x:v>
      </x:c>
      <x:c r="J150" s="8" t="n">
        <x:f>MAX(H150-I150,0)</x:f>
        <x:v>182916.81999999995</x:v>
      </x:c>
      <x:c r="K150" s="8" t="n">
        <x:f>J150*G150</x:f>
        <x:v>149990.6665608034</x:v>
      </x:c>
      <x:c r="L150" s="8" t="n">
        <x:f>IFERROR('Resumen'!$B$14*K150/SUM($K$6:$K$337),0)</x:f>
        <x:v>108642.51958923506</x:v>
      </x:c>
      <x:c r="M150" s="8" t="n">
        <x:f>I150+L150</x:f>
        <x:v>373392.88958923507</x:v>
      </x:c>
      <x:c r="N150" s="8" t="n">
        <x:v>0</x:v>
      </x:c>
      <x:c r="O150" s="8" t="n">
        <x:f>N150*'Resumen'!$B$8</x:f>
        <x:v>0</x:v>
      </x:c>
      <x:c r="P150" s="8" t="n">
        <x:f>M150+O150</x:f>
        <x:v>373392.88958923507</x:v>
      </x:c>
      <x:c r="Q150" s="8" t="n">
        <x:f>P150-H150</x:f>
        <x:v>-74274.30041076487</x:v>
      </x:c>
      <x:c r="R150" s="8" t="n">
        <x:v>0</x:v>
      </x:c>
      <x:c r="S150" s="8" t="n">
        <x:f>R150*'Resumen'!$B$8</x:f>
        <x:v>0</x:v>
      </x:c>
      <x:c r="T150" s="8" t="n">
        <x:f>M150+S150</x:f>
        <x:v>373392.88958923507</x:v>
      </x:c>
      <x:c r="U150" s="8" t="n">
        <x:f>T150-H150</x:f>
        <x:v>-74274.30041076487</x:v>
      </x:c>
      <x:c r="V150" s="27" t="n">
        <x:v>0</x:v>
      </x:c>
    </x:row>
    <x:row r="151">
      <x:c r="A151" s="28" t="str">
        <x:v>734931</x:v>
      </x:c>
      <x:c r="B151" s="25" t="n">
        <x:v>26</x:v>
      </x:c>
      <x:c r="C151" s="25" t="n">
        <x:v>32394</x:v>
      </x:c>
      <x:c r="D151" s="25" t="n">
        <x:f>IF(B151=0,0,C151/B151)</x:f>
        <x:v>1245.923076923077</x:v>
      </x:c>
      <x:c r="E151" s="26" t="n">
        <x:f>IF(D151=0,0,D151/MAX($D$6:$D$337))</x:f>
        <x:v>0.8914004025410402</x:v>
      </x:c>
      <x:c r="F151" s="26" t="n">
        <x:f>IF(B151=0,0,B151/MAX($B$6:$B$337))</x:f>
        <x:v>0.9285714285714286</x:v>
      </x:c>
      <x:c r="G151" s="26" t="n">
        <x:f>'Resumen'!$B$9*E151+'Resumen'!$B$10*F151</x:f>
        <x:v>0.9025517103501567</x:v>
      </x:c>
      <x:c r="H151" s="8" t="n">
        <x:v>662641.9099999999</x:v>
      </x:c>
      <x:c r="I151" s="8" t="n">
        <x:v>382456.7899999999</x:v>
      </x:c>
      <x:c r="J151" s="8" t="n">
        <x:f>MAX(H151-I151,0)</x:f>
        <x:v>280185.12</x:v>
      </x:c>
      <x:c r="K151" s="8" t="n">
        <x:f>J151*G151</x:f>
        <x:v>252881.55927066389</x:v>
      </x:c>
      <x:c r="L151" s="8" t="n">
        <x:f>IFERROR('Resumen'!$B$14*K151/SUM($K$6:$K$337),0)</x:f>
        <x:v>183169.32904409812</x:v>
      </x:c>
      <x:c r="M151" s="8" t="n">
        <x:f>I151+L151</x:f>
        <x:v>565626.1190440981</x:v>
      </x:c>
      <x:c r="N151" s="8" t="n">
        <x:v>0</x:v>
      </x:c>
      <x:c r="O151" s="8" t="n">
        <x:f>N151*'Resumen'!$B$8</x:f>
        <x:v>0</x:v>
      </x:c>
      <x:c r="P151" s="8" t="n">
        <x:f>M151+O151</x:f>
        <x:v>565626.1190440981</x:v>
      </x:c>
      <x:c r="Q151" s="8" t="n">
        <x:f>P151-H151</x:f>
        <x:v>-97015.79095590184</x:v>
      </x:c>
      <x:c r="R151" s="8" t="n">
        <x:v>0</x:v>
      </x:c>
      <x:c r="S151" s="8" t="n">
        <x:f>R151*'Resumen'!$B$8</x:f>
        <x:v>0</x:v>
      </x:c>
      <x:c r="T151" s="8" t="n">
        <x:f>M151+S151</x:f>
        <x:v>565626.1190440981</x:v>
      </x:c>
      <x:c r="U151" s="8" t="n">
        <x:f>T151-H151</x:f>
        <x:v>-97015.79095590184</x:v>
      </x:c>
      <x:c r="V151" s="27" t="n">
        <x:v>0</x:v>
      </x:c>
    </x:row>
    <x:row r="152">
      <x:c r="A152" s="28" t="str">
        <x:v>734932</x:v>
      </x:c>
      <x:c r="B152" s="25" t="n">
        <x:v>22</x:v>
      </x:c>
      <x:c r="C152" s="25" t="n">
        <x:v>23983</x:v>
      </x:c>
      <x:c r="D152" s="25" t="n">
        <x:f>IF(B152=0,0,C152/B152)</x:f>
        <x:v>1090.1363636363637</x:v>
      </x:c>
      <x:c r="E152" s="26" t="n">
        <x:f>IF(D152=0,0,D152/MAX($D$6:$D$337))</x:f>
        <x:v>0.7799422061993607</x:v>
      </x:c>
      <x:c r="F152" s="26" t="n">
        <x:f>IF(B152=0,0,B152/MAX($B$6:$B$337))</x:f>
        <x:v>0.7857142857142857</x:v>
      </x:c>
      <x:c r="G152" s="26" t="n">
        <x:f>'Resumen'!$B$9*E152+'Resumen'!$B$10*F152</x:f>
        <x:v>0.7816738300538382</x:v>
      </x:c>
      <x:c r="H152" s="8" t="n">
        <x:v>323474.87</x:v>
      </x:c>
      <x:c r="I152" s="8" t="n">
        <x:v>268795.19</x:v>
      </x:c>
      <x:c r="J152" s="8" t="n">
        <x:f>MAX(H152-I152,0)</x:f>
        <x:v>54679.67999999999</x:v>
      </x:c>
      <x:c r="K152" s="8" t="n">
        <x:f>J152*G152</x:f>
        <x:v>42741.67489171825</x:v>
      </x:c>
      <x:c r="L152" s="8" t="n">
        <x:f>IFERROR('Resumen'!$B$14*K152/SUM($K$6:$K$337),0)</x:f>
        <x:v>30959.014705210357</x:v>
      </x:c>
      <x:c r="M152" s="8" t="n">
        <x:f>I152+L152</x:f>
        <x:v>299754.20470521034</x:v>
      </x:c>
      <x:c r="N152" s="8" t="n">
        <x:v>0</x:v>
      </x:c>
      <x:c r="O152" s="8" t="n">
        <x:f>N152*'Resumen'!$B$8</x:f>
        <x:v>0</x:v>
      </x:c>
      <x:c r="P152" s="8" t="n">
        <x:f>M152+O152</x:f>
        <x:v>299754.20470521034</x:v>
      </x:c>
      <x:c r="Q152" s="8" t="n">
        <x:f>P152-H152</x:f>
        <x:v>-23720.66529478965</x:v>
      </x:c>
      <x:c r="R152" s="8" t="n">
        <x:v>0</x:v>
      </x:c>
      <x:c r="S152" s="8" t="n">
        <x:f>R152*'Resumen'!$B$8</x:f>
        <x:v>0</x:v>
      </x:c>
      <x:c r="T152" s="8" t="n">
        <x:f>M152+S152</x:f>
        <x:v>299754.20470521034</x:v>
      </x:c>
      <x:c r="U152" s="8" t="n">
        <x:f>T152-H152</x:f>
        <x:v>-23720.66529478965</x:v>
      </x:c>
      <x:c r="V152" s="27" t="n">
        <x:v>0</x:v>
      </x:c>
    </x:row>
    <x:row r="153">
      <x:c r="A153" s="28" t="str">
        <x:v>734934</x:v>
      </x:c>
      <x:c r="B153" s="25" t="n">
        <x:v>17</x:v>
      </x:c>
      <x:c r="C153" s="25" t="n">
        <x:v>18716</x:v>
      </x:c>
      <x:c r="D153" s="25" t="n">
        <x:f>IF(B153=0,0,C153/B153)</x:f>
        <x:v>1100.9411764705883</x:v>
      </x:c>
      <x:c r="E153" s="26" t="n">
        <x:f>IF(D153=0,0,D153/MAX($D$6:$D$337))</x:f>
        <x:v>0.7876725506228657</x:v>
      </x:c>
      <x:c r="F153" s="26" t="n">
        <x:f>IF(B153=0,0,B153/MAX($B$6:$B$337))</x:f>
        <x:v>0.6071428571428571</x:v>
      </x:c>
      <x:c r="G153" s="26" t="n">
        <x:f>'Resumen'!$B$9*E153+'Resumen'!$B$10*F153</x:f>
        <x:v>0.7335136425788631</x:v>
      </x:c>
      <x:c r="H153" s="8" t="n">
        <x:v>272585.44</x:v>
      </x:c>
      <x:c r="I153" s="8" t="n">
        <x:v>217686.07000000004</x:v>
      </x:c>
      <x:c r="J153" s="8" t="n">
        <x:f>MAX(H153-I153,0)</x:f>
        <x:v>54899.369999999966</x:v>
      </x:c>
      <x:c r="K153" s="8" t="n">
        <x:f>J153*G153</x:f>
        <x:v>40269.43686398473</x:v>
      </x:c>
      <x:c r="L153" s="8" t="n">
        <x:f>IFERROR('Resumen'!$B$14*K153/SUM($K$6:$K$337),0)</x:f>
        <x:v>29168.302159450657</x:v>
      </x:c>
      <x:c r="M153" s="8" t="n">
        <x:f>I153+L153</x:f>
        <x:v>246854.3721594507</x:v>
      </x:c>
      <x:c r="N153" s="8" t="n">
        <x:v>0</x:v>
      </x:c>
      <x:c r="O153" s="8" t="n">
        <x:f>N153*'Resumen'!$B$8</x:f>
        <x:v>0</x:v>
      </x:c>
      <x:c r="P153" s="8" t="n">
        <x:f>M153+O153</x:f>
        <x:v>246854.3721594507</x:v>
      </x:c>
      <x:c r="Q153" s="8" t="n">
        <x:f>P153-H153</x:f>
        <x:v>-25731.06784054931</x:v>
      </x:c>
      <x:c r="R153" s="8" t="n">
        <x:v>0</x:v>
      </x:c>
      <x:c r="S153" s="8" t="n">
        <x:f>R153*'Resumen'!$B$8</x:f>
        <x:v>0</x:v>
      </x:c>
      <x:c r="T153" s="8" t="n">
        <x:f>M153+S153</x:f>
        <x:v>246854.3721594507</x:v>
      </x:c>
      <x:c r="U153" s="8" t="n">
        <x:f>T153-H153</x:f>
        <x:v>-25731.06784054931</x:v>
      </x:c>
      <x:c r="V153" s="27" t="n">
        <x:v>0</x:v>
      </x:c>
    </x:row>
    <x:row r="154">
      <x:c r="A154" s="28" t="str">
        <x:v>734936</x:v>
      </x:c>
      <x:c r="B154" s="25" t="n">
        <x:v>15</x:v>
      </x:c>
      <x:c r="C154" s="25" t="n">
        <x:v>14436</x:v>
      </x:c>
      <x:c r="D154" s="25" t="n">
        <x:f>IF(B154=0,0,C154/B154)</x:f>
        <x:v>962.4</x:v>
      </x:c>
      <x:c r="E154" s="26" t="n">
        <x:f>IF(D154=0,0,D154/MAX($D$6:$D$337))</x:f>
        <x:v>0.6885527391659853</x:v>
      </x:c>
      <x:c r="F154" s="26" t="n">
        <x:f>IF(B154=0,0,B154/MAX($B$6:$B$337))</x:f>
        <x:v>0.5357142857142857</x:v>
      </x:c>
      <x:c r="G154" s="26" t="n">
        <x:f>'Resumen'!$B$9*E154+'Resumen'!$B$10*F154</x:f>
        <x:v>0.6427012031304753</x:v>
      </x:c>
      <x:c r="H154" s="8" t="n">
        <x:v>142037.76</x:v>
      </x:c>
      <x:c r="I154" s="8" t="n">
        <x:v>107263.41000000002</x:v>
      </x:c>
      <x:c r="J154" s="8" t="n">
        <x:f>MAX(H154-I154,0)</x:f>
        <x:v>34774.34999999999</x:v>
      </x:c>
      <x:c r="K154" s="8" t="n">
        <x:f>J154*G154</x:f>
        <x:v>22349.51658308024</x:v>
      </x:c>
      <x:c r="L154" s="8" t="n">
        <x:f>IFERROR('Resumen'!$B$14*K154/SUM($K$6:$K$337),0)</x:f>
        <x:v>16188.39257710025</x:v>
      </x:c>
      <x:c r="M154" s="8" t="n">
        <x:f>I154+L154</x:f>
        <x:v>123451.80257710027</x:v>
      </x:c>
      <x:c r="N154" s="8" t="n">
        <x:v>0</x:v>
      </x:c>
      <x:c r="O154" s="8" t="n">
        <x:f>N154*'Resumen'!$B$8</x:f>
        <x:v>0</x:v>
      </x:c>
      <x:c r="P154" s="8" t="n">
        <x:f>M154+O154</x:f>
        <x:v>123451.80257710027</x:v>
      </x:c>
      <x:c r="Q154" s="8" t="n">
        <x:f>P154-H154</x:f>
        <x:v>-18585.957422899737</x:v>
      </x:c>
      <x:c r="R154" s="8" t="n">
        <x:v>0</x:v>
      </x:c>
      <x:c r="S154" s="8" t="n">
        <x:f>R154*'Resumen'!$B$8</x:f>
        <x:v>0</x:v>
      </x:c>
      <x:c r="T154" s="8" t="n">
        <x:f>M154+S154</x:f>
        <x:v>123451.80257710027</x:v>
      </x:c>
      <x:c r="U154" s="8" t="n">
        <x:f>T154-H154</x:f>
        <x:v>-18585.957422899737</x:v>
      </x:c>
      <x:c r="V154" s="27" t="n">
        <x:v>0</x:v>
      </x:c>
    </x:row>
    <x:row r="155">
      <x:c r="A155" s="28" t="str">
        <x:v>734939</x:v>
      </x:c>
      <x:c r="B155" s="25" t="n">
        <x:v>15</x:v>
      </x:c>
      <x:c r="C155" s="25" t="n">
        <x:v>12388</x:v>
      </x:c>
      <x:c r="D155" s="25" t="n">
        <x:f>IF(B155=0,0,C155/B155)</x:f>
        <x:v>825.8666666666667</x:v>
      </x:c>
      <x:c r="E155" s="26" t="n">
        <x:f>IF(D155=0,0,D155/MAX($D$6:$D$337))</x:f>
        <x:v>0.5908694467157264</x:v>
      </x:c>
      <x:c r="F155" s="26" t="n">
        <x:f>IF(B155=0,0,B155/MAX($B$6:$B$337))</x:f>
        <x:v>0.5357142857142857</x:v>
      </x:c>
      <x:c r="G155" s="26" t="n">
        <x:f>'Resumen'!$B$9*E155+'Resumen'!$B$10*F155</x:f>
        <x:v>0.5743228984152942</x:v>
      </x:c>
      <x:c r="H155" s="8" t="n">
        <x:v>118797.26000000001</x:v>
      </x:c>
      <x:c r="I155" s="8" t="n">
        <x:v>93884.39000000001</x:v>
      </x:c>
      <x:c r="J155" s="8" t="n">
        <x:f>MAX(H155-I155,0)</x:f>
        <x:v>24912.869999999995</x:v>
      </x:c>
      <x:c r="K155" s="8" t="n">
        <x:f>J155*G155</x:f>
        <x:v>14308.031706243426</x:v>
      </x:c>
      <x:c r="L155" s="8" t="n">
        <x:f>IFERROR('Resumen'!$B$14*K155/SUM($K$6:$K$337),0)</x:f>
        <x:v>10363.715626924017</x:v>
      </x:c>
      <x:c r="M155" s="8" t="n">
        <x:f>I155+L155</x:f>
        <x:v>104248.10562692404</x:v>
      </x:c>
      <x:c r="N155" s="8" t="n">
        <x:v>0</x:v>
      </x:c>
      <x:c r="O155" s="8" t="n">
        <x:f>N155*'Resumen'!$B$8</x:f>
        <x:v>0</x:v>
      </x:c>
      <x:c r="P155" s="8" t="n">
        <x:f>M155+O155</x:f>
        <x:v>104248.10562692404</x:v>
      </x:c>
      <x:c r="Q155" s="8" t="n">
        <x:f>P155-H155</x:f>
        <x:v>-14549.154373075973</x:v>
      </x:c>
      <x:c r="R155" s="8" t="n">
        <x:v>0</x:v>
      </x:c>
      <x:c r="S155" s="8" t="n">
        <x:f>R155*'Resumen'!$B$8</x:f>
        <x:v>0</x:v>
      </x:c>
      <x:c r="T155" s="8" t="n">
        <x:f>M155+S155</x:f>
        <x:v>104248.10562692404</x:v>
      </x:c>
      <x:c r="U155" s="8" t="n">
        <x:f>T155-H155</x:f>
        <x:v>-14549.154373075973</x:v>
      </x:c>
      <x:c r="V155" s="27" t="n">
        <x:v>0</x:v>
      </x:c>
    </x:row>
    <x:row r="156">
      <x:c r="A156" s="28" t="str">
        <x:v>734940</x:v>
      </x:c>
      <x:c r="B156" s="25" t="n">
        <x:v>6</x:v>
      </x:c>
      <x:c r="C156" s="25" t="n">
        <x:v>5683</x:v>
      </x:c>
      <x:c r="D156" s="25" t="n">
        <x:f>IF(B156=0,0,C156/B156)</x:f>
        <x:v>947.1666666666666</x:v>
      </x:c>
      <x:c r="E156" s="26" t="n">
        <x:f>IF(D156=0,0,D156/MAX($D$6:$D$337))</x:f>
        <x:v>0.6776539929136004</x:v>
      </x:c>
      <x:c r="F156" s="26" t="n">
        <x:f>IF(B156=0,0,B156/MAX($B$6:$B$337))</x:f>
        <x:v>0.21428571428571427</x:v>
      </x:c>
      <x:c r="G156" s="26" t="n">
        <x:f>'Resumen'!$B$9*E156+'Resumen'!$B$10*F156</x:f>
        <x:v>0.5386435093252345</x:v>
      </x:c>
      <x:c r="H156" s="8" t="n">
        <x:v>60783.28</x:v>
      </x:c>
      <x:c r="I156" s="8" t="n">
        <x:v>52283.86</x:v>
      </x:c>
      <x:c r="J156" s="8" t="n">
        <x:f>MAX(H156-I156,0)</x:f>
        <x:v>8499.419999999998</x:v>
      </x:c>
      <x:c r="K156" s="8" t="n">
        <x:f>J156*G156</x:f>
        <x:v>4578.157416029084</x:v>
      </x:c>
      <x:c r="L156" s="8" t="n">
        <x:f>IFERROR('Resumen'!$B$14*K156/SUM($K$6:$K$337),0)</x:f>
        <x:v>3316.090048522532</x:v>
      </x:c>
      <x:c r="M156" s="8" t="n">
        <x:f>I156+L156</x:f>
        <x:v>55599.95004852253</x:v>
      </x:c>
      <x:c r="N156" s="8" t="n">
        <x:v>0</x:v>
      </x:c>
      <x:c r="O156" s="8" t="n">
        <x:f>N156*'Resumen'!$B$8</x:f>
        <x:v>0</x:v>
      </x:c>
      <x:c r="P156" s="8" t="n">
        <x:f>M156+O156</x:f>
        <x:v>55599.95004852253</x:v>
      </x:c>
      <x:c r="Q156" s="8" t="n">
        <x:f>P156-H156</x:f>
        <x:v>-5183.32995147747</x:v>
      </x:c>
      <x:c r="R156" s="8" t="n">
        <x:v>0</x:v>
      </x:c>
      <x:c r="S156" s="8" t="n">
        <x:f>R156*'Resumen'!$B$8</x:f>
        <x:v>0</x:v>
      </x:c>
      <x:c r="T156" s="8" t="n">
        <x:f>M156+S156</x:f>
        <x:v>55599.95004852253</x:v>
      </x:c>
      <x:c r="U156" s="8" t="n">
        <x:f>T156-H156</x:f>
        <x:v>-5183.32995147747</x:v>
      </x:c>
      <x:c r="V156" s="27" t="n">
        <x:v>0</x:v>
      </x:c>
    </x:row>
    <x:row r="157">
      <x:c r="A157" s="28" t="str">
        <x:v>734941</x:v>
      </x:c>
      <x:c r="B157" s="25" t="n">
        <x:v>3</x:v>
      </x:c>
      <x:c r="C157" s="25" t="n">
        <x:v>2552</x:v>
      </x:c>
      <x:c r="D157" s="25" t="n">
        <x:f>IF(B157=0,0,C157/B157)</x:f>
        <x:v>850.6666666666666</x:v>
      </x:c>
      <x:c r="E157" s="26" t="n">
        <x:f>IF(D157=0,0,D157/MAX($D$6:$D$337))</x:f>
        <x:v>0.6086127010084491</x:v>
      </x:c>
      <x:c r="F157" s="26" t="n">
        <x:f>IF(B157=0,0,B157/MAX($B$6:$B$337))</x:f>
        <x:v>0.10714285714285714</x:v>
      </x:c>
      <x:c r="G157" s="26" t="n">
        <x:f>'Resumen'!$B$9*E157+'Resumen'!$B$10*F157</x:f>
        <x:v>0.4581717478487715</x:v>
      </x:c>
      <x:c r="H157" s="8" t="n">
        <x:v>4811.52</x:v>
      </x:c>
      <x:c r="I157" s="8" t="n">
        <x:v>24648.5</x:v>
      </x:c>
      <x:c r="J157" s="8" t="n">
        <x:f>MAX(H157-I157,0)</x:f>
        <x:v>0</x:v>
      </x:c>
      <x:c r="K157" s="8" t="n">
        <x:f>J157*G157</x:f>
        <x:v>0</x:v>
      </x:c>
      <x:c r="L157" s="8" t="n">
        <x:f>IFERROR('Resumen'!$B$14*K157/SUM($K$6:$K$337),0)</x:f>
        <x:v>0</x:v>
      </x:c>
      <x:c r="M157" s="8" t="n">
        <x:f>I157+L157</x:f>
        <x:v>24648.5</x:v>
      </x:c>
      <x:c r="N157" s="8" t="n">
        <x:v>0</x:v>
      </x:c>
      <x:c r="O157" s="8" t="n">
        <x:f>N157*'Resumen'!$B$8</x:f>
        <x:v>0</x:v>
      </x:c>
      <x:c r="P157" s="8" t="n">
        <x:f>M157+O157</x:f>
        <x:v>24648.5</x:v>
      </x:c>
      <x:c r="Q157" s="8" t="n">
        <x:f>P157-H157</x:f>
        <x:v>19836.98</x:v>
      </x:c>
      <x:c r="R157" s="8" t="n">
        <x:v>0</x:v>
      </x:c>
      <x:c r="S157" s="8" t="n">
        <x:f>R157*'Resumen'!$B$8</x:f>
        <x:v>0</x:v>
      </x:c>
      <x:c r="T157" s="8" t="n">
        <x:f>M157+S157</x:f>
        <x:v>24648.5</x:v>
      </x:c>
      <x:c r="U157" s="8" t="n">
        <x:f>T157-H157</x:f>
        <x:v>19836.98</x:v>
      </x:c>
      <x:c r="V157" s="27" t="n">
        <x:v>0</x:v>
      </x:c>
    </x:row>
    <x:row r="158">
      <x:c r="A158" s="28" t="str">
        <x:v>734943</x:v>
      </x:c>
      <x:c r="B158" s="25" t="n">
        <x:v>19</x:v>
      </x:c>
      <x:c r="C158" s="25" t="n">
        <x:v>15441</x:v>
      </x:c>
      <x:c r="D158" s="25" t="n">
        <x:f>IF(B158=0,0,C158/B158)</x:f>
        <x:v>812.6842105263158</x:v>
      </x:c>
      <x:c r="E158" s="26" t="n">
        <x:f>IF(D158=0,0,D158/MAX($D$6:$D$337))</x:f>
        <x:v>0.5814380083487541</x:v>
      </x:c>
      <x:c r="F158" s="26" t="n">
        <x:f>IF(B158=0,0,B158/MAX($B$6:$B$337))</x:f>
        <x:v>0.6785714285714286</x:v>
      </x:c>
      <x:c r="G158" s="26" t="n">
        <x:f>'Resumen'!$B$9*E158+'Resumen'!$B$10*F158</x:f>
        <x:v>0.6105780344155565</x:v>
      </x:c>
      <x:c r="H158" s="8" t="n">
        <x:v>79516.66</x:v>
      </x:c>
      <x:c r="I158" s="8" t="n">
        <x:v>141699.01</x:v>
      </x:c>
      <x:c r="J158" s="8" t="n">
        <x:f>MAX(H158-I158,0)</x:f>
        <x:v>0</x:v>
      </x:c>
      <x:c r="K158" s="8" t="n">
        <x:f>J158*G158</x:f>
        <x:v>0</x:v>
      </x:c>
      <x:c r="L158" s="8" t="n">
        <x:f>IFERROR('Resumen'!$B$14*K158/SUM($K$6:$K$337),0)</x:f>
        <x:v>0</x:v>
      </x:c>
      <x:c r="M158" s="8" t="n">
        <x:f>I158+L158</x:f>
        <x:v>141699.01</x:v>
      </x:c>
      <x:c r="N158" s="8" t="n">
        <x:v>0</x:v>
      </x:c>
      <x:c r="O158" s="8" t="n">
        <x:f>N158*'Resumen'!$B$8</x:f>
        <x:v>0</x:v>
      </x:c>
      <x:c r="P158" s="8" t="n">
        <x:f>M158+O158</x:f>
        <x:v>141699.01</x:v>
      </x:c>
      <x:c r="Q158" s="8" t="n">
        <x:f>P158-H158</x:f>
        <x:v>62182.350000000006</x:v>
      </x:c>
      <x:c r="R158" s="8" t="n">
        <x:v>0</x:v>
      </x:c>
      <x:c r="S158" s="8" t="n">
        <x:f>R158*'Resumen'!$B$8</x:f>
        <x:v>0</x:v>
      </x:c>
      <x:c r="T158" s="8" t="n">
        <x:f>M158+S158</x:f>
        <x:v>141699.01</x:v>
      </x:c>
      <x:c r="U158" s="8" t="n">
        <x:f>T158-H158</x:f>
        <x:v>62182.350000000006</x:v>
      </x:c>
      <x:c r="V158" s="27" t="n">
        <x:v>0</x:v>
      </x:c>
    </x:row>
    <x:row r="159">
      <x:c r="A159" s="28" t="str">
        <x:v>734944</x:v>
      </x:c>
      <x:c r="B159" s="25" t="n">
        <x:v>24</x:v>
      </x:c>
      <x:c r="C159" s="25" t="n">
        <x:v>26551</x:v>
      </x:c>
      <x:c r="D159" s="25" t="n">
        <x:f>IF(B159=0,0,C159/B159)</x:f>
        <x:v>1106.2916666666667</x:v>
      </x:c>
      <x:c r="E159" s="26" t="n">
        <x:f>IF(D159=0,0,D159/MAX($D$6:$D$337))</x:f>
        <x:v>0.7915005791768874</x:v>
      </x:c>
      <x:c r="F159" s="26" t="n">
        <x:f>IF(B159=0,0,B159/MAX($B$6:$B$337))</x:f>
        <x:v>0.8571428571428571</x:v>
      </x:c>
      <x:c r="G159" s="26" t="n">
        <x:f>'Resumen'!$B$9*E159+'Resumen'!$B$10*F159</x:f>
        <x:v>0.8111932625666782</x:v>
      </x:c>
      <x:c r="H159" s="8" t="n">
        <x:v>348420.36999999994</x:v>
      </x:c>
      <x:c r="I159" s="8" t="n">
        <x:v>215062.24999999997</x:v>
      </x:c>
      <x:c r="J159" s="8" t="n">
        <x:f>MAX(H159-I159,0)</x:f>
        <x:v>133358.11999999997</x:v>
      </x:c>
      <x:c r="K159" s="8" t="n">
        <x:f>J159*G159</x:f>
        <x:v>108179.20845255855</x:v>
      </x:c>
      <x:c r="L159" s="8" t="n">
        <x:f>IFERROR('Resumen'!$B$14*K159/SUM($K$6:$K$337),0)</x:f>
        <x:v>78357.28744288662</x:v>
      </x:c>
      <x:c r="M159" s="8" t="n">
        <x:f>I159+L159</x:f>
        <x:v>293419.5374428866</x:v>
      </x:c>
      <x:c r="N159" s="8" t="n">
        <x:v>0</x:v>
      </x:c>
      <x:c r="O159" s="8" t="n">
        <x:f>N159*'Resumen'!$B$8</x:f>
        <x:v>0</x:v>
      </x:c>
      <x:c r="P159" s="8" t="n">
        <x:f>M159+O159</x:f>
        <x:v>293419.5374428866</x:v>
      </x:c>
      <x:c r="Q159" s="8" t="n">
        <x:f>P159-H159</x:f>
        <x:v>-55000.83255711332</x:v>
      </x:c>
      <x:c r="R159" s="8" t="n">
        <x:v>0</x:v>
      </x:c>
      <x:c r="S159" s="8" t="n">
        <x:f>R159*'Resumen'!$B$8</x:f>
        <x:v>0</x:v>
      </x:c>
      <x:c r="T159" s="8" t="n">
        <x:f>M159+S159</x:f>
        <x:v>293419.5374428866</x:v>
      </x:c>
      <x:c r="U159" s="8" t="n">
        <x:f>T159-H159</x:f>
        <x:v>-55000.83255711332</x:v>
      </x:c>
      <x:c r="V159" s="27" t="n">
        <x:v>0</x:v>
      </x:c>
    </x:row>
    <x:row r="160">
      <x:c r="A160" s="28" t="str">
        <x:v>734946</x:v>
      </x:c>
      <x:c r="B160" s="25" t="n">
        <x:v>19</x:v>
      </x:c>
      <x:c r="C160" s="25" t="n">
        <x:v>18264</x:v>
      </x:c>
      <x:c r="D160" s="25" t="n">
        <x:f>IF(B160=0,0,C160/B160)</x:f>
        <x:v>961.2631578947369</x:v>
      </x:c>
      <x:c r="E160" s="26" t="n">
        <x:f>IF(D160=0,0,D160/MAX($D$6:$D$337))</x:f>
        <x:v>0.687739381159358</x:v>
      </x:c>
      <x:c r="F160" s="26" t="n">
        <x:f>IF(B160=0,0,B160/MAX($B$6:$B$337))</x:f>
        <x:v>0.6785714285714286</x:v>
      </x:c>
      <x:c r="G160" s="26" t="n">
        <x:f>'Resumen'!$B$9*E160+'Resumen'!$B$10*F160</x:f>
        <x:v>0.6849889953829791</x:v>
      </x:c>
      <x:c r="H160" s="8" t="n">
        <x:v>143474.38999999998</x:v>
      </x:c>
      <x:c r="I160" s="8" t="n">
        <x:v>196481.79000000004</x:v>
      </x:c>
      <x:c r="J160" s="8" t="n">
        <x:f>MAX(H160-I160,0)</x:f>
        <x:v>0</x:v>
      </x:c>
      <x:c r="K160" s="8" t="n">
        <x:f>J160*G160</x:f>
        <x:v>0</x:v>
      </x:c>
      <x:c r="L160" s="8" t="n">
        <x:f>IFERROR('Resumen'!$B$14*K160/SUM($K$6:$K$337),0)</x:f>
        <x:v>0</x:v>
      </x:c>
      <x:c r="M160" s="8" t="n">
        <x:f>I160+L160</x:f>
        <x:v>196481.79000000004</x:v>
      </x:c>
      <x:c r="N160" s="8" t="n">
        <x:v>0</x:v>
      </x:c>
      <x:c r="O160" s="8" t="n">
        <x:f>N160*'Resumen'!$B$8</x:f>
        <x:v>0</x:v>
      </x:c>
      <x:c r="P160" s="8" t="n">
        <x:f>M160+O160</x:f>
        <x:v>196481.79000000004</x:v>
      </x:c>
      <x:c r="Q160" s="8" t="n">
        <x:f>P160-H160</x:f>
        <x:v>53007.40000000005</x:v>
      </x:c>
      <x:c r="R160" s="8" t="n">
        <x:v>0</x:v>
      </x:c>
      <x:c r="S160" s="8" t="n">
        <x:f>R160*'Resumen'!$B$8</x:f>
        <x:v>0</x:v>
      </x:c>
      <x:c r="T160" s="8" t="n">
        <x:f>M160+S160</x:f>
        <x:v>196481.79000000004</x:v>
      </x:c>
      <x:c r="U160" s="8" t="n">
        <x:f>T160-H160</x:f>
        <x:v>53007.40000000005</x:v>
      </x:c>
      <x:c r="V160" s="27" t="n">
        <x:v>0</x:v>
      </x:c>
    </x:row>
    <x:row r="161">
      <x:c r="A161" s="28" t="str">
        <x:v>734947</x:v>
      </x:c>
      <x:c r="B161" s="25" t="n">
        <x:v>15</x:v>
      </x:c>
      <x:c r="C161" s="25" t="n">
        <x:v>12704</x:v>
      </x:c>
      <x:c r="D161" s="25" t="n">
        <x:f>IF(B161=0,0,C161/B161)</x:f>
        <x:v>846.9333333333333</x:v>
      </x:c>
      <x:c r="E161" s="26" t="n">
        <x:f>IF(D161=0,0,D161/MAX($D$6:$D$337))</x:f>
        <x:v>0.6059416734805123</x:v>
      </x:c>
      <x:c r="F161" s="26" t="n">
        <x:f>IF(B161=0,0,B161/MAX($B$6:$B$337))</x:f>
        <x:v>0.5357142857142857</x:v>
      </x:c>
      <x:c r="G161" s="26" t="n">
        <x:f>'Resumen'!$B$9*E161+'Resumen'!$B$10*F161</x:f>
        <x:v>0.5848734571506443</x:v>
      </x:c>
      <x:c r="H161" s="8" t="n">
        <x:v>45203.51000000001</x:v>
      </x:c>
      <x:c r="I161" s="8" t="n">
        <x:v>123262.62000000001</x:v>
      </x:c>
      <x:c r="J161" s="8" t="n">
        <x:f>MAX(H161-I161,0)</x:f>
        <x:v>0</x:v>
      </x:c>
      <x:c r="K161" s="8" t="n">
        <x:f>J161*G161</x:f>
        <x:v>0</x:v>
      </x:c>
      <x:c r="L161" s="8" t="n">
        <x:f>IFERROR('Resumen'!$B$14*K161/SUM($K$6:$K$337),0)</x:f>
        <x:v>0</x:v>
      </x:c>
      <x:c r="M161" s="8" t="n">
        <x:f>I161+L161</x:f>
        <x:v>123262.62000000001</x:v>
      </x:c>
      <x:c r="N161" s="8" t="n">
        <x:v>0</x:v>
      </x:c>
      <x:c r="O161" s="8" t="n">
        <x:f>N161*'Resumen'!$B$8</x:f>
        <x:v>0</x:v>
      </x:c>
      <x:c r="P161" s="8" t="n">
        <x:f>M161+O161</x:f>
        <x:v>123262.62000000001</x:v>
      </x:c>
      <x:c r="Q161" s="8" t="n">
        <x:f>P161-H161</x:f>
        <x:v>78059.11</x:v>
      </x:c>
      <x:c r="R161" s="8" t="n">
        <x:v>0</x:v>
      </x:c>
      <x:c r="S161" s="8" t="n">
        <x:f>R161*'Resumen'!$B$8</x:f>
        <x:v>0</x:v>
      </x:c>
      <x:c r="T161" s="8" t="n">
        <x:f>M161+S161</x:f>
        <x:v>123262.62000000001</x:v>
      </x:c>
      <x:c r="U161" s="8" t="n">
        <x:f>T161-H161</x:f>
        <x:v>78059.11</x:v>
      </x:c>
      <x:c r="V161" s="27" t="n">
        <x:v>0</x:v>
      </x:c>
    </x:row>
    <x:row r="162">
      <x:c r="A162" s="28" t="str">
        <x:v>735000</x:v>
      </x:c>
      <x:c r="B162" s="25" t="n">
        <x:v>22</x:v>
      </x:c>
      <x:c r="C162" s="25" t="n">
        <x:v>18367</x:v>
      </x:c>
      <x:c r="D162" s="25" t="n">
        <x:f>IF(B162=0,0,C162/B162)</x:f>
        <x:v>834.8636363636364</x:v>
      </x:c>
      <x:c r="E162" s="26" t="n">
        <x:f>IF(D162=0,0,D162/MAX($D$6:$D$337))</x:f>
        <x:v>0.597306362893035</x:v>
      </x:c>
      <x:c r="F162" s="26" t="n">
        <x:f>IF(B162=0,0,B162/MAX($B$6:$B$337))</x:f>
        <x:v>0.7857142857142857</x:v>
      </x:c>
      <x:c r="G162" s="26" t="n">
        <x:f>'Resumen'!$B$9*E162+'Resumen'!$B$10*F162</x:f>
        <x:v>0.6538287397394101</x:v>
      </x:c>
      <x:c r="H162" s="8" t="n">
        <x:v>180738.23</x:v>
      </x:c>
      <x:c r="I162" s="8" t="n">
        <x:v>134804.12</x:v>
      </x:c>
      <x:c r="J162" s="8" t="n">
        <x:f>MAX(H162-I162,0)</x:f>
        <x:v>45934.110000000015</x:v>
      </x:c>
      <x:c r="K162" s="8" t="n">
        <x:f>J162*G162</x:f>
        <x:v>30033.041252351446</x:v>
      </x:c>
      <x:c r="L162" s="8" t="n">
        <x:f>IFERROR('Resumen'!$B$14*K162/SUM($K$6:$K$337),0)</x:f>
        <x:v>21753.788734982336</x:v>
      </x:c>
      <x:c r="M162" s="8" t="n">
        <x:f>I162+L162</x:f>
        <x:v>156557.90873498234</x:v>
      </x:c>
      <x:c r="N162" s="8" t="n">
        <x:v>0</x:v>
      </x:c>
      <x:c r="O162" s="8" t="n">
        <x:f>N162*'Resumen'!$B$8</x:f>
        <x:v>0</x:v>
      </x:c>
      <x:c r="P162" s="8" t="n">
        <x:f>M162+O162</x:f>
        <x:v>156557.90873498234</x:v>
      </x:c>
      <x:c r="Q162" s="8" t="n">
        <x:f>P162-H162</x:f>
        <x:v>-24180.321265017672</x:v>
      </x:c>
      <x:c r="R162" s="8" t="n">
        <x:v>0</x:v>
      </x:c>
      <x:c r="S162" s="8" t="n">
        <x:f>R162*'Resumen'!$B$8</x:f>
        <x:v>0</x:v>
      </x:c>
      <x:c r="T162" s="8" t="n">
        <x:f>M162+S162</x:f>
        <x:v>156557.90873498234</x:v>
      </x:c>
      <x:c r="U162" s="8" t="n">
        <x:f>T162-H162</x:f>
        <x:v>-24180.321265017672</x:v>
      </x:c>
      <x:c r="V162" s="27" t="n">
        <x:v>0</x:v>
      </x:c>
    </x:row>
    <x:row r="163">
      <x:c r="A163" s="28" t="str">
        <x:v>735004</x:v>
      </x:c>
      <x:c r="B163" s="25" t="n">
        <x:v>17</x:v>
      </x:c>
      <x:c r="C163" s="25" t="n">
        <x:v>13625</x:v>
      </x:c>
      <x:c r="D163" s="25" t="n">
        <x:f>IF(B163=0,0,C163/B163)</x:f>
        <x:v>801.4705882352941</x:v>
      </x:c>
      <x:c r="E163" s="26" t="n">
        <x:f>IF(D163=0,0,D163/MAX($D$6:$D$337))</x:f>
        <x:v>0.5734151796450387</x:v>
      </x:c>
      <x:c r="F163" s="26" t="n">
        <x:f>IF(B163=0,0,B163/MAX($B$6:$B$337))</x:f>
        <x:v>0.6071428571428571</x:v>
      </x:c>
      <x:c r="G163" s="26" t="n">
        <x:f>'Resumen'!$B$9*E163+'Resumen'!$B$10*F163</x:f>
        <x:v>0.5835334828943842</x:v>
      </x:c>
      <x:c r="H163" s="8" t="n">
        <x:v>109630.38</x:v>
      </x:c>
      <x:c r="I163" s="8" t="n">
        <x:v>97051.85</x:v>
      </x:c>
      <x:c r="J163" s="8" t="n">
        <x:f>MAX(H163-I163,0)</x:f>
        <x:v>12578.529999999999</x:v>
      </x:c>
      <x:c r="K163" s="8" t="n">
        <x:f>J163*G163</x:f>
        <x:v>7339.993420591498</x:v>
      </x:c>
      <x:c r="L163" s="8" t="n">
        <x:f>IFERROR('Resumen'!$B$14*K163/SUM($K$6:$K$337),0)</x:f>
        <x:v>5316.5666722215865</x:v>
      </x:c>
      <x:c r="M163" s="8" t="n">
        <x:f>I163+L163</x:f>
        <x:v>102368.41667222159</x:v>
      </x:c>
      <x:c r="N163" s="8" t="n">
        <x:v>0</x:v>
      </x:c>
      <x:c r="O163" s="8" t="n">
        <x:f>N163*'Resumen'!$B$8</x:f>
        <x:v>0</x:v>
      </x:c>
      <x:c r="P163" s="8" t="n">
        <x:f>M163+O163</x:f>
        <x:v>102368.41667222159</x:v>
      </x:c>
      <x:c r="Q163" s="8" t="n">
        <x:f>P163-H163</x:f>
        <x:v>-7261.963327778416</x:v>
      </x:c>
      <x:c r="R163" s="8" t="n">
        <x:v>0</x:v>
      </x:c>
      <x:c r="S163" s="8" t="n">
        <x:f>R163*'Resumen'!$B$8</x:f>
        <x:v>0</x:v>
      </x:c>
      <x:c r="T163" s="8" t="n">
        <x:f>M163+S163</x:f>
        <x:v>102368.41667222159</x:v>
      </x:c>
      <x:c r="U163" s="8" t="n">
        <x:f>T163-H163</x:f>
        <x:v>-7261.963327778416</x:v>
      </x:c>
      <x:c r="V163" s="27" t="n">
        <x:v>0</x:v>
      </x:c>
    </x:row>
    <x:row r="164">
      <x:c r="A164" s="28" t="str">
        <x:v>735021</x:v>
      </x:c>
      <x:c r="B164" s="25" t="n">
        <x:v>19</x:v>
      </x:c>
      <x:c r="C164" s="25" t="n">
        <x:v>17399</x:v>
      </x:c>
      <x:c r="D164" s="25" t="n">
        <x:f>IF(B164=0,0,C164/B164)</x:f>
        <x:v>915.7368421052631</x:v>
      </x:c>
      <x:c r="E164" s="26" t="n">
        <x:f>IF(D164=0,0,D164/MAX($D$6:$D$337))</x:f>
        <x:v>0.6551674054309936</x:v>
      </x:c>
      <x:c r="F164" s="26" t="n">
        <x:f>IF(B164=0,0,B164/MAX($B$6:$B$337))</x:f>
        <x:v>0.6785714285714286</x:v>
      </x:c>
      <x:c r="G164" s="26" t="n">
        <x:f>'Resumen'!$B$9*E164+'Resumen'!$B$10*F164</x:f>
        <x:v>0.662188612373124</x:v>
      </x:c>
      <x:c r="H164" s="8" t="n">
        <x:v>131593.45</x:v>
      </x:c>
      <x:c r="I164" s="8" t="n">
        <x:v>165045.37000000002</x:v>
      </x:c>
      <x:c r="J164" s="8" t="n">
        <x:f>MAX(H164-I164,0)</x:f>
        <x:v>0</x:v>
      </x:c>
      <x:c r="K164" s="8" t="n">
        <x:f>J164*G164</x:f>
        <x:v>0</x:v>
      </x:c>
      <x:c r="L164" s="8" t="n">
        <x:f>IFERROR('Resumen'!$B$14*K164/SUM($K$6:$K$337),0)</x:f>
        <x:v>0</x:v>
      </x:c>
      <x:c r="M164" s="8" t="n">
        <x:f>I164+L164</x:f>
        <x:v>165045.37000000002</x:v>
      </x:c>
      <x:c r="N164" s="8" t="n">
        <x:v>0</x:v>
      </x:c>
      <x:c r="O164" s="8" t="n">
        <x:f>N164*'Resumen'!$B$8</x:f>
        <x:v>0</x:v>
      </x:c>
      <x:c r="P164" s="8" t="n">
        <x:f>M164+O164</x:f>
        <x:v>165045.37000000002</x:v>
      </x:c>
      <x:c r="Q164" s="8" t="n">
        <x:f>P164-H164</x:f>
        <x:v>33451.92000000001</x:v>
      </x:c>
      <x:c r="R164" s="8" t="n">
        <x:v>0</x:v>
      </x:c>
      <x:c r="S164" s="8" t="n">
        <x:f>R164*'Resumen'!$B$8</x:f>
        <x:v>0</x:v>
      </x:c>
      <x:c r="T164" s="8" t="n">
        <x:f>M164+S164</x:f>
        <x:v>165045.37000000002</x:v>
      </x:c>
      <x:c r="U164" s="8" t="n">
        <x:f>T164-H164</x:f>
        <x:v>33451.92000000001</x:v>
      </x:c>
      <x:c r="V164" s="27" t="n">
        <x:v>0</x:v>
      </x:c>
    </x:row>
    <x:row r="165">
      <x:c r="A165" s="28" t="str">
        <x:v>735022</x:v>
      </x:c>
      <x:c r="B165" s="25" t="n">
        <x:v>19</x:v>
      </x:c>
      <x:c r="C165" s="25" t="n">
        <x:v>15163</x:v>
      </x:c>
      <x:c r="D165" s="25" t="n">
        <x:f>IF(B165=0,0,C165/B165)</x:f>
        <x:v>798.0526315789474</x:v>
      </x:c>
      <x:c r="E165" s="26" t="n">
        <x:f>IF(D165=0,0,D165/MAX($D$6:$D$337))</x:f>
        <x:v>0.5709697895597539</x:v>
      </x:c>
      <x:c r="F165" s="26" t="n">
        <x:f>IF(B165=0,0,B165/MAX($B$6:$B$337))</x:f>
        <x:v>0.6785714285714286</x:v>
      </x:c>
      <x:c r="G165" s="26" t="n">
        <x:f>'Resumen'!$B$9*E165+'Resumen'!$B$10*F165</x:f>
        <x:v>0.6032502812632563</x:v>
      </x:c>
      <x:c r="H165" s="8" t="n">
        <x:v>39684.39</x:v>
      </x:c>
      <x:c r="I165" s="8" t="n">
        <x:v>147437.2</x:v>
      </x:c>
      <x:c r="J165" s="8" t="n">
        <x:f>MAX(H165-I165,0)</x:f>
        <x:v>0</x:v>
      </x:c>
      <x:c r="K165" s="8" t="n">
        <x:f>J165*G165</x:f>
        <x:v>0</x:v>
      </x:c>
      <x:c r="L165" s="8" t="n">
        <x:f>IFERROR('Resumen'!$B$14*K165/SUM($K$6:$K$337),0)</x:f>
        <x:v>0</x:v>
      </x:c>
      <x:c r="M165" s="8" t="n">
        <x:f>I165+L165</x:f>
        <x:v>147437.2</x:v>
      </x:c>
      <x:c r="N165" s="8" t="n">
        <x:v>0</x:v>
      </x:c>
      <x:c r="O165" s="8" t="n">
        <x:f>N165*'Resumen'!$B$8</x:f>
        <x:v>0</x:v>
      </x:c>
      <x:c r="P165" s="8" t="n">
        <x:f>M165+O165</x:f>
        <x:v>147437.2</x:v>
      </x:c>
      <x:c r="Q165" s="8" t="n">
        <x:f>P165-H165</x:f>
        <x:v>107752.81000000001</x:v>
      </x:c>
      <x:c r="R165" s="8" t="n">
        <x:v>0</x:v>
      </x:c>
      <x:c r="S165" s="8" t="n">
        <x:f>R165*'Resumen'!$B$8</x:f>
        <x:v>0</x:v>
      </x:c>
      <x:c r="T165" s="8" t="n">
        <x:f>M165+S165</x:f>
        <x:v>147437.2</x:v>
      </x:c>
      <x:c r="U165" s="8" t="n">
        <x:f>T165-H165</x:f>
        <x:v>107752.81000000001</x:v>
      </x:c>
      <x:c r="V165" s="27" t="n">
        <x:v>0</x:v>
      </x:c>
    </x:row>
    <x:row r="166">
      <x:c r="A166" s="28" t="str">
        <x:v>735024</x:v>
      </x:c>
      <x:c r="B166" s="25" t="n">
        <x:v>23</x:v>
      </x:c>
      <x:c r="C166" s="25" t="n">
        <x:v>25203</x:v>
      </x:c>
      <x:c r="D166" s="25" t="n">
        <x:f>IF(B166=0,0,C166/B166)</x:f>
        <x:v>1095.7826086956522</x:v>
      </x:c>
      <x:c r="E166" s="26" t="n">
        <x:f>IF(D166=0,0,D166/MAX($D$6:$D$337))</x:f>
        <x:v>0.7839818336947634</x:v>
      </x:c>
      <x:c r="F166" s="26" t="n">
        <x:f>IF(B166=0,0,B166/MAX($B$6:$B$337))</x:f>
        <x:v>0.8214285714285714</x:v>
      </x:c>
      <x:c r="G166" s="26" t="n">
        <x:f>'Resumen'!$B$9*E166+'Resumen'!$B$10*F166</x:f>
        <x:v>0.7952158550149058</x:v>
      </x:c>
      <x:c r="H166" s="8" t="n">
        <x:v>346583.51</x:v>
      </x:c>
      <x:c r="I166" s="8" t="n">
        <x:v>254072.19999999995</x:v>
      </x:c>
      <x:c r="J166" s="8" t="n">
        <x:f>MAX(H166-I166,0)</x:f>
        <x:v>92511.31000000006</x:v>
      </x:c>
      <x:c r="K166" s="8" t="n">
        <x:f>J166*G166</x:f>
        <x:v>73566.46048019905</x:v>
      </x:c>
      <x:c r="L166" s="8" t="n">
        <x:f>IFERROR('Resumen'!$B$14*K166/SUM($K$6:$K$337),0)</x:f>
        <x:v>53286.2864543023</x:v>
      </x:c>
      <x:c r="M166" s="8" t="n">
        <x:f>I166+L166</x:f>
        <x:v>307358.48645430227</x:v>
      </x:c>
      <x:c r="N166" s="8" t="n">
        <x:v>0</x:v>
      </x:c>
      <x:c r="O166" s="8" t="n">
        <x:f>N166*'Resumen'!$B$8</x:f>
        <x:v>0</x:v>
      </x:c>
      <x:c r="P166" s="8" t="n">
        <x:f>M166+O166</x:f>
        <x:v>307358.48645430227</x:v>
      </x:c>
      <x:c r="Q166" s="8" t="n">
        <x:f>P166-H166</x:f>
        <x:v>-39225.02354569774</x:v>
      </x:c>
      <x:c r="R166" s="8" t="n">
        <x:v>0</x:v>
      </x:c>
      <x:c r="S166" s="8" t="n">
        <x:f>R166*'Resumen'!$B$8</x:f>
        <x:v>0</x:v>
      </x:c>
      <x:c r="T166" s="8" t="n">
        <x:f>M166+S166</x:f>
        <x:v>307358.48645430227</x:v>
      </x:c>
      <x:c r="U166" s="8" t="n">
        <x:f>T166-H166</x:f>
        <x:v>-39225.02354569774</x:v>
      </x:c>
      <x:c r="V166" s="27" t="n">
        <x:v>0</x:v>
      </x:c>
    </x:row>
    <x:row r="167">
      <x:c r="A167" s="28" t="str">
        <x:v>735026</x:v>
      </x:c>
      <x:c r="B167" s="25" t="n">
        <x:v>22</x:v>
      </x:c>
      <x:c r="C167" s="25" t="n">
        <x:v>21323</x:v>
      </x:c>
      <x:c r="D167" s="25" t="n">
        <x:f>IF(B167=0,0,C167/B167)</x:f>
        <x:v>969.2272727272727</x:v>
      </x:c>
      <x:c r="E167" s="26" t="n">
        <x:f>IF(D167=0,0,D167/MAX($D$6:$D$337))</x:f>
        <x:v>0.6934373373968631</x:v>
      </x:c>
      <x:c r="F167" s="26" t="n">
        <x:f>IF(B167=0,0,B167/MAX($B$6:$B$337))</x:f>
        <x:v>0.7857142857142857</x:v>
      </x:c>
      <x:c r="G167" s="26" t="n">
        <x:f>'Resumen'!$B$9*E167+'Resumen'!$B$10*F167</x:f>
        <x:v>0.7211204218920899</x:v>
      </x:c>
      <x:c r="H167" s="8" t="n">
        <x:v>102578.90000000001</x:v>
      </x:c>
      <x:c r="I167" s="8" t="n">
        <x:v>221762.80000000005</x:v>
      </x:c>
      <x:c r="J167" s="8" t="n">
        <x:f>MAX(H167-I167,0)</x:f>
        <x:v>0</x:v>
      </x:c>
      <x:c r="K167" s="8" t="n">
        <x:f>J167*G167</x:f>
        <x:v>0</x:v>
      </x:c>
      <x:c r="L167" s="8" t="n">
        <x:f>IFERROR('Resumen'!$B$14*K167/SUM($K$6:$K$337),0)</x:f>
        <x:v>0</x:v>
      </x:c>
      <x:c r="M167" s="8" t="n">
        <x:f>I167+L167</x:f>
        <x:v>221762.80000000005</x:v>
      </x:c>
      <x:c r="N167" s="8" t="n">
        <x:v>0</x:v>
      </x:c>
      <x:c r="O167" s="8" t="n">
        <x:f>N167*'Resumen'!$B$8</x:f>
        <x:v>0</x:v>
      </x:c>
      <x:c r="P167" s="8" t="n">
        <x:f>M167+O167</x:f>
        <x:v>221762.80000000005</x:v>
      </x:c>
      <x:c r="Q167" s="8" t="n">
        <x:f>P167-H167</x:f>
        <x:v>119183.90000000004</x:v>
      </x:c>
      <x:c r="R167" s="8" t="n">
        <x:v>0</x:v>
      </x:c>
      <x:c r="S167" s="8" t="n">
        <x:f>R167*'Resumen'!$B$8</x:f>
        <x:v>0</x:v>
      </x:c>
      <x:c r="T167" s="8" t="n">
        <x:f>M167+S167</x:f>
        <x:v>221762.80000000005</x:v>
      </x:c>
      <x:c r="U167" s="8" t="n">
        <x:f>T167-H167</x:f>
        <x:v>119183.90000000004</x:v>
      </x:c>
      <x:c r="V167" s="27" t="n">
        <x:v>0</x:v>
      </x:c>
    </x:row>
    <x:row r="168">
      <x:c r="A168" s="28" t="str">
        <x:v>735027</x:v>
      </x:c>
      <x:c r="B168" s="25" t="n">
        <x:v>22</x:v>
      </x:c>
      <x:c r="C168" s="25" t="n">
        <x:v>26121</x:v>
      </x:c>
      <x:c r="D168" s="25" t="n">
        <x:f>IF(B168=0,0,C168/B168)</x:f>
        <x:v>1187.3181818181818</x:v>
      </x:c>
      <x:c r="E168" s="26" t="n">
        <x:f>IF(D168=0,0,D168/MAX($D$6:$D$337))</x:f>
        <x:v>0.8494713075150523</x:v>
      </x:c>
      <x:c r="F168" s="26" t="n">
        <x:f>IF(B168=0,0,B168/MAX($B$6:$B$337))</x:f>
        <x:v>0.7857142857142857</x:v>
      </x:c>
      <x:c r="G168" s="26" t="n">
        <x:f>'Resumen'!$B$9*E168+'Resumen'!$B$10*F168</x:f>
        <x:v>0.8303442009748223</x:v>
      </x:c>
      <x:c r="H168" s="8" t="n">
        <x:v>390709.8299999999</x:v>
      </x:c>
      <x:c r="I168" s="8" t="n">
        <x:v>310905</x:v>
      </x:c>
      <x:c r="J168" s="8" t="n">
        <x:f>MAX(H168-I168,0)</x:f>
        <x:v>79804.8299999999</x:v>
      </x:c>
      <x:c r="K168" s="8" t="n">
        <x:f>J168*G168</x:f>
        <x:v>66265.47780028144</x:v>
      </x:c>
      <x:c r="L168" s="8" t="n">
        <x:f>IFERROR('Resumen'!$B$14*K168/SUM($K$6:$K$337),0)</x:f>
        <x:v>47997.97637467433</x:v>
      </x:c>
      <x:c r="M168" s="8" t="n">
        <x:f>I168+L168</x:f>
        <x:v>358902.97637467436</x:v>
      </x:c>
      <x:c r="N168" s="8" t="n">
        <x:v>0</x:v>
      </x:c>
      <x:c r="O168" s="8" t="n">
        <x:f>N168*'Resumen'!$B$8</x:f>
        <x:v>0</x:v>
      </x:c>
      <x:c r="P168" s="8" t="n">
        <x:f>M168+O168</x:f>
        <x:v>358902.97637467436</x:v>
      </x:c>
      <x:c r="Q168" s="8" t="n">
        <x:f>P168-H168</x:f>
        <x:v>-31806.853625325544</x:v>
      </x:c>
      <x:c r="R168" s="8" t="n">
        <x:v>0</x:v>
      </x:c>
      <x:c r="S168" s="8" t="n">
        <x:f>R168*'Resumen'!$B$8</x:f>
        <x:v>0</x:v>
      </x:c>
      <x:c r="T168" s="8" t="n">
        <x:f>M168+S168</x:f>
        <x:v>358902.97637467436</x:v>
      </x:c>
      <x:c r="U168" s="8" t="n">
        <x:f>T168-H168</x:f>
        <x:v>-31806.853625325544</x:v>
      </x:c>
      <x:c r="V168" s="27" t="n">
        <x:v>0</x:v>
      </x:c>
    </x:row>
    <x:row r="169">
      <x:c r="A169" s="28" t="str">
        <x:v>735028</x:v>
      </x:c>
      <x:c r="B169" s="25" t="n">
        <x:v>22</x:v>
      </x:c>
      <x:c r="C169" s="25" t="n">
        <x:v>21625</x:v>
      </x:c>
      <x:c r="D169" s="25" t="n">
        <x:f>IF(B169=0,0,C169/B169)</x:f>
        <x:v>982.9545454545455</x:v>
      </x:c>
      <x:c r="E169" s="26" t="n">
        <x:f>IF(D169=0,0,D169/MAX($D$6:$D$337))</x:f>
        <x:v>0.7032585668624098</x:v>
      </x:c>
      <x:c r="F169" s="26" t="n">
        <x:f>IF(B169=0,0,B169/MAX($B$6:$B$337))</x:f>
        <x:v>0.7857142857142857</x:v>
      </x:c>
      <x:c r="G169" s="26" t="n">
        <x:f>'Resumen'!$B$9*E169+'Resumen'!$B$10*F169</x:f>
        <x:v>0.7279952825179725</x:v>
      </x:c>
      <x:c r="H169" s="8" t="n">
        <x:v>239594.9</x:v>
      </x:c>
      <x:c r="I169" s="8" t="n">
        <x:v>224927.30999999997</x:v>
      </x:c>
      <x:c r="J169" s="8" t="n">
        <x:f>MAX(H169-I169,0)</x:f>
        <x:v>14667.590000000026</x:v>
      </x:c>
      <x:c r="K169" s="8" t="n">
        <x:f>J169*G169</x:f>
        <x:v>10677.936325907807</x:v>
      </x:c>
      <x:c r="L169" s="8" t="n">
        <x:f>IFERROR('Resumen'!$B$14*K169/SUM($K$6:$K$337),0)</x:f>
        <x:v>7734.333962638733</x:v>
      </x:c>
      <x:c r="M169" s="8" t="n">
        <x:f>I169+L169</x:f>
        <x:v>232661.64396263871</x:v>
      </x:c>
      <x:c r="N169" s="8" t="n">
        <x:v>0</x:v>
      </x:c>
      <x:c r="O169" s="8" t="n">
        <x:f>N169*'Resumen'!$B$8</x:f>
        <x:v>0</x:v>
      </x:c>
      <x:c r="P169" s="8" t="n">
        <x:f>M169+O169</x:f>
        <x:v>232661.64396263871</x:v>
      </x:c>
      <x:c r="Q169" s="8" t="n">
        <x:f>P169-H169</x:f>
        <x:v>-6933.25603736128</x:v>
      </x:c>
      <x:c r="R169" s="8" t="n">
        <x:v>0</x:v>
      </x:c>
      <x:c r="S169" s="8" t="n">
        <x:f>R169*'Resumen'!$B$8</x:f>
        <x:v>0</x:v>
      </x:c>
      <x:c r="T169" s="8" t="n">
        <x:f>M169+S169</x:f>
        <x:v>232661.64396263871</x:v>
      </x:c>
      <x:c r="U169" s="8" t="n">
        <x:f>T169-H169</x:f>
        <x:v>-6933.25603736128</x:v>
      </x:c>
      <x:c r="V169" s="27" t="n">
        <x:v>0</x:v>
      </x:c>
    </x:row>
    <x:row r="170">
      <x:c r="A170" s="28" t="str">
        <x:v>735029</x:v>
      </x:c>
      <x:c r="B170" s="25" t="n">
        <x:v>19</x:v>
      </x:c>
      <x:c r="C170" s="25" t="n">
        <x:v>15807</x:v>
      </x:c>
      <x:c r="D170" s="25" t="n">
        <x:f>IF(B170=0,0,C170/B170)</x:f>
        <x:v>831.9473684210526</x:v>
      </x:c>
      <x:c r="E170" s="26" t="n">
        <x:f>IF(D170=0,0,D170/MAX($D$6:$D$337))</x:f>
        <x:v>0.5952199079054955</x:v>
      </x:c>
      <x:c r="F170" s="26" t="n">
        <x:f>IF(B170=0,0,B170/MAX($B$6:$B$337))</x:f>
        <x:v>0.6785714285714286</x:v>
      </x:c>
      <x:c r="G170" s="26" t="n">
        <x:f>'Resumen'!$B$9*E170+'Resumen'!$B$10*F170</x:f>
        <x:v>0.6202253641052754</x:v>
      </x:c>
      <x:c r="H170" s="8" t="n">
        <x:v>80817.5</x:v>
      </x:c>
      <x:c r="I170" s="8" t="n">
        <x:v>141878.95</x:v>
      </x:c>
      <x:c r="J170" s="8" t="n">
        <x:f>MAX(H170-I170,0)</x:f>
        <x:v>0</x:v>
      </x:c>
      <x:c r="K170" s="8" t="n">
        <x:f>J170*G170</x:f>
        <x:v>0</x:v>
      </x:c>
      <x:c r="L170" s="8" t="n">
        <x:f>IFERROR('Resumen'!$B$14*K170/SUM($K$6:$K$337),0)</x:f>
        <x:v>0</x:v>
      </x:c>
      <x:c r="M170" s="8" t="n">
        <x:f>I170+L170</x:f>
        <x:v>141878.95</x:v>
      </x:c>
      <x:c r="N170" s="8" t="n">
        <x:v>0</x:v>
      </x:c>
      <x:c r="O170" s="8" t="n">
        <x:f>N170*'Resumen'!$B$8</x:f>
        <x:v>0</x:v>
      </x:c>
      <x:c r="P170" s="8" t="n">
        <x:f>M170+O170</x:f>
        <x:v>141878.95</x:v>
      </x:c>
      <x:c r="Q170" s="8" t="n">
        <x:f>P170-H170</x:f>
        <x:v>61061.45000000001</x:v>
      </x:c>
      <x:c r="R170" s="8" t="n">
        <x:v>0</x:v>
      </x:c>
      <x:c r="S170" s="8" t="n">
        <x:f>R170*'Resumen'!$B$8</x:f>
        <x:v>0</x:v>
      </x:c>
      <x:c r="T170" s="8" t="n">
        <x:f>M170+S170</x:f>
        <x:v>141878.95</x:v>
      </x:c>
      <x:c r="U170" s="8" t="n">
        <x:f>T170-H170</x:f>
        <x:v>61061.45000000001</x:v>
      </x:c>
      <x:c r="V170" s="27" t="n">
        <x:v>0</x:v>
      </x:c>
    </x:row>
    <x:row r="171">
      <x:c r="A171" s="28" t="str">
        <x:v>735031</x:v>
      </x:c>
      <x:c r="B171" s="25" t="n">
        <x:v>19</x:v>
      </x:c>
      <x:c r="C171" s="25" t="n">
        <x:v>25060</x:v>
      </x:c>
      <x:c r="D171" s="25" t="n">
        <x:f>IF(B171=0,0,C171/B171)</x:f>
        <x:v>1318.9473684210527</x:v>
      </x:c>
      <x:c r="E171" s="26" t="n">
        <x:f>IF(D171=0,0,D171/MAX($D$6:$D$337))</x:f>
        <x:v>0.9436459095408185</x:v>
      </x:c>
      <x:c r="F171" s="26" t="n">
        <x:f>IF(B171=0,0,B171/MAX($B$6:$B$337))</x:f>
        <x:v>0.6785714285714286</x:v>
      </x:c>
      <x:c r="G171" s="26" t="n">
        <x:f>'Resumen'!$B$9*E171+'Resumen'!$B$10*F171</x:f>
        <x:v>0.8641235652500014</x:v>
      </x:c>
      <x:c r="H171" s="8" t="n">
        <x:v>402344.78</x:v>
      </x:c>
      <x:c r="I171" s="8" t="n">
        <x:v>282552.86000000004</x:v>
      </x:c>
      <x:c r="J171" s="8" t="n">
        <x:f>MAX(H171-I171,0)</x:f>
        <x:v>119791.91999999998</x:v>
      </x:c>
      <x:c r="K171" s="8" t="n">
        <x:f>J171*G171</x:f>
        <x:v>103515.02099854294</x:v>
      </x:c>
      <x:c r="L171" s="8" t="n">
        <x:f>IFERROR('Resumen'!$B$14*K171/SUM($K$6:$K$337),0)</x:f>
        <x:v>74978.8833830891</x:v>
      </x:c>
      <x:c r="M171" s="8" t="n">
        <x:f>I171+L171</x:f>
        <x:v>357531.74338308914</x:v>
      </x:c>
      <x:c r="N171" s="8" t="n">
        <x:v>0</x:v>
      </x:c>
      <x:c r="O171" s="8" t="n">
        <x:f>N171*'Resumen'!$B$8</x:f>
        <x:v>0</x:v>
      </x:c>
      <x:c r="P171" s="8" t="n">
        <x:f>M171+O171</x:f>
        <x:v>357531.74338308914</x:v>
      </x:c>
      <x:c r="Q171" s="8" t="n">
        <x:f>P171-H171</x:f>
        <x:v>-44813.03661691089</x:v>
      </x:c>
      <x:c r="R171" s="8" t="n">
        <x:v>0</x:v>
      </x:c>
      <x:c r="S171" s="8" t="n">
        <x:f>R171*'Resumen'!$B$8</x:f>
        <x:v>0</x:v>
      </x:c>
      <x:c r="T171" s="8" t="n">
        <x:f>M171+S171</x:f>
        <x:v>357531.74338308914</x:v>
      </x:c>
      <x:c r="U171" s="8" t="n">
        <x:f>T171-H171</x:f>
        <x:v>-44813.03661691089</x:v>
      </x:c>
      <x:c r="V171" s="27" t="n">
        <x:v>0</x:v>
      </x:c>
    </x:row>
    <x:row r="172">
      <x:c r="A172" s="28" t="str">
        <x:v>735032</x:v>
      </x:c>
      <x:c r="B172" s="25" t="n">
        <x:v>20</x:v>
      </x:c>
      <x:c r="C172" s="25" t="n">
        <x:v>18021</x:v>
      </x:c>
      <x:c r="D172" s="25" t="n">
        <x:f>IF(B172=0,0,C172/B172)</x:f>
        <x:v>901.05</x:v>
      </x:c>
      <x:c r="E172" s="26" t="n">
        <x:f>IF(D172=0,0,D172/MAX($D$6:$D$337))</x:f>
        <x:v>0.64465964840556</x:v>
      </x:c>
      <x:c r="F172" s="26" t="n">
        <x:f>IF(B172=0,0,B172/MAX($B$6:$B$337))</x:f>
        <x:v>0.7142857142857143</x:v>
      </x:c>
      <x:c r="G172" s="26" t="n">
        <x:f>'Resumen'!$B$9*E172+'Resumen'!$B$10*F172</x:f>
        <x:v>0.6655474681696062</x:v>
      </x:c>
      <x:c r="H172" s="8" t="n">
        <x:v>159065.18</x:v>
      </x:c>
      <x:c r="I172" s="8" t="n">
        <x:v>197204.59999999995</x:v>
      </x:c>
      <x:c r="J172" s="8" t="n">
        <x:f>MAX(H172-I172,0)</x:f>
        <x:v>0</x:v>
      </x:c>
      <x:c r="K172" s="8" t="n">
        <x:f>J172*G172</x:f>
        <x:v>0</x:v>
      </x:c>
      <x:c r="L172" s="8" t="n">
        <x:f>IFERROR('Resumen'!$B$14*K172/SUM($K$6:$K$337),0)</x:f>
        <x:v>0</x:v>
      </x:c>
      <x:c r="M172" s="8" t="n">
        <x:f>I172+L172</x:f>
        <x:v>197204.59999999995</x:v>
      </x:c>
      <x:c r="N172" s="8" t="n">
        <x:v>0</x:v>
      </x:c>
      <x:c r="O172" s="8" t="n">
        <x:f>N172*'Resumen'!$B$8</x:f>
        <x:v>0</x:v>
      </x:c>
      <x:c r="P172" s="8" t="n">
        <x:f>M172+O172</x:f>
        <x:v>197204.59999999995</x:v>
      </x:c>
      <x:c r="Q172" s="8" t="n">
        <x:f>P172-H172</x:f>
        <x:v>38139.419999999955</x:v>
      </x:c>
      <x:c r="R172" s="8" t="n">
        <x:v>0</x:v>
      </x:c>
      <x:c r="S172" s="8" t="n">
        <x:f>R172*'Resumen'!$B$8</x:f>
        <x:v>0</x:v>
      </x:c>
      <x:c r="T172" s="8" t="n">
        <x:f>M172+S172</x:f>
        <x:v>197204.59999999995</x:v>
      </x:c>
      <x:c r="U172" s="8" t="n">
        <x:f>T172-H172</x:f>
        <x:v>38139.419999999955</x:v>
      </x:c>
      <x:c r="V172" s="27" t="n">
        <x:v>0</x:v>
      </x:c>
    </x:row>
    <x:row r="173">
      <x:c r="A173" s="28" t="str">
        <x:v>735091</x:v>
      </x:c>
      <x:c r="B173" s="25" t="n">
        <x:v>4</x:v>
      </x:c>
      <x:c r="C173" s="25" t="n">
        <x:v>2512</x:v>
      </x:c>
      <x:c r="D173" s="25" t="n">
        <x:f>IF(B173=0,0,C173/B173)</x:f>
        <x:v>628</x:v>
      </x:c>
      <x:c r="E173" s="26" t="n">
        <x:f>IF(D173=0,0,D173/MAX($D$6:$D$337))</x:f>
        <x:v>0.44930498773507765</x:v>
      </x:c>
      <x:c r="F173" s="26" t="n">
        <x:f>IF(B173=0,0,B173/MAX($B$6:$B$337))</x:f>
        <x:v>0.14285714285714285</x:v>
      </x:c>
      <x:c r="G173" s="26" t="n">
        <x:f>'Resumen'!$B$9*E173+'Resumen'!$B$10*F173</x:f>
        <x:v>0.3573706342716972</x:v>
      </x:c>
      <x:c r="H173" s="8" t="n">
        <x:v>16733.96</x:v>
      </x:c>
      <x:c r="I173" s="8" t="n">
        <x:v>16836.37</x:v>
      </x:c>
      <x:c r="J173" s="8" t="n">
        <x:f>MAX(H173-I173,0)</x:f>
        <x:v>0</x:v>
      </x:c>
      <x:c r="K173" s="8" t="n">
        <x:f>J173*G173</x:f>
        <x:v>0</x:v>
      </x:c>
      <x:c r="L173" s="8" t="n">
        <x:f>IFERROR('Resumen'!$B$14*K173/SUM($K$6:$K$337),0)</x:f>
        <x:v>0</x:v>
      </x:c>
      <x:c r="M173" s="8" t="n">
        <x:f>I173+L173</x:f>
        <x:v>16836.37</x:v>
      </x:c>
      <x:c r="N173" s="8" t="n">
        <x:v>0</x:v>
      </x:c>
      <x:c r="O173" s="8" t="n">
        <x:f>N173*'Resumen'!$B$8</x:f>
        <x:v>0</x:v>
      </x:c>
      <x:c r="P173" s="8" t="n">
        <x:f>M173+O173</x:f>
        <x:v>16836.37</x:v>
      </x:c>
      <x:c r="Q173" s="8" t="n">
        <x:f>P173-H173</x:f>
        <x:v>102.40999999999985</x:v>
      </x:c>
      <x:c r="R173" s="8" t="n">
        <x:v>0</x:v>
      </x:c>
      <x:c r="S173" s="8" t="n">
        <x:f>R173*'Resumen'!$B$8</x:f>
        <x:v>0</x:v>
      </x:c>
      <x:c r="T173" s="8" t="n">
        <x:f>M173+S173</x:f>
        <x:v>16836.37</x:v>
      </x:c>
      <x:c r="U173" s="8" t="n">
        <x:f>T173-H173</x:f>
        <x:v>102.40999999999985</x:v>
      </x:c>
      <x:c r="V173" s="27" t="n">
        <x:v>0</x:v>
      </x:c>
    </x:row>
    <x:row r="174">
      <x:c r="A174" s="28" t="str">
        <x:v>735093</x:v>
      </x:c>
      <x:c r="B174" s="25" t="n">
        <x:v>20</x:v>
      </x:c>
      <x:c r="C174" s="25" t="n">
        <x:v>19816</x:v>
      </x:c>
      <x:c r="D174" s="25" t="n">
        <x:f>IF(B174=0,0,C174/B174)</x:f>
        <x:v>990.8</x:v>
      </x:c>
      <x:c r="E174" s="26" t="n">
        <x:f>IF(D174=0,0,D174/MAX($D$6:$D$337))</x:f>
        <x:v>0.7088716271463613</x:v>
      </x:c>
      <x:c r="F174" s="26" t="n">
        <x:f>IF(B174=0,0,B174/MAX($B$6:$B$337))</x:f>
        <x:v>0.7142857142857143</x:v>
      </x:c>
      <x:c r="G174" s="26" t="n">
        <x:f>'Resumen'!$B$9*E174+'Resumen'!$B$10*F174</x:f>
        <x:v>0.7104958532881671</x:v>
      </x:c>
      <x:c r="H174" s="8" t="n">
        <x:v>270916.13</x:v>
      </x:c>
      <x:c r="I174" s="8" t="n">
        <x:v>227334.63</x:v>
      </x:c>
      <x:c r="J174" s="8" t="n">
        <x:f>MAX(H174-I174,0)</x:f>
        <x:v>43581.5</x:v>
      </x:c>
      <x:c r="K174" s="8" t="n">
        <x:f>J174*G174</x:f>
        <x:v>30964.475030078254</x:v>
      </x:c>
      <x:c r="L174" s="8" t="n">
        <x:f>IFERROR('Resumen'!$B$14*K174/SUM($K$6:$K$337),0)</x:f>
        <x:v>22428.45279750744</x:v>
      </x:c>
      <x:c r="M174" s="8" t="n">
        <x:f>I174+L174</x:f>
        <x:v>249763.08279750744</x:v>
      </x:c>
      <x:c r="N174" s="8" t="n">
        <x:v>0</x:v>
      </x:c>
      <x:c r="O174" s="8" t="n">
        <x:f>N174*'Resumen'!$B$8</x:f>
        <x:v>0</x:v>
      </x:c>
      <x:c r="P174" s="8" t="n">
        <x:f>M174+O174</x:f>
        <x:v>249763.08279750744</x:v>
      </x:c>
      <x:c r="Q174" s="8" t="n">
        <x:f>P174-H174</x:f>
        <x:v>-21153.04720249257</x:v>
      </x:c>
      <x:c r="R174" s="8" t="n">
        <x:v>0</x:v>
      </x:c>
      <x:c r="S174" s="8" t="n">
        <x:f>R174*'Resumen'!$B$8</x:f>
        <x:v>0</x:v>
      </x:c>
      <x:c r="T174" s="8" t="n">
        <x:f>M174+S174</x:f>
        <x:v>249763.08279750744</x:v>
      </x:c>
      <x:c r="U174" s="8" t="n">
        <x:f>T174-H174</x:f>
        <x:v>-21153.04720249257</x:v>
      </x:c>
      <x:c r="V174" s="27" t="n">
        <x:v>0</x:v>
      </x:c>
    </x:row>
    <x:row r="175">
      <x:c r="A175" s="28" t="str">
        <x:v>735094</x:v>
      </x:c>
      <x:c r="B175" s="25" t="n">
        <x:v>1</x:v>
      </x:c>
      <x:c r="C175" s="25" t="n">
        <x:v>790</x:v>
      </x:c>
      <x:c r="D175" s="25" t="n">
        <x:f>IF(B175=0,0,C175/B175)</x:f>
        <x:v>790</x:v>
      </x:c>
      <x:c r="E175" s="26" t="n">
        <x:f>IF(D175=0,0,D175/MAX($D$6:$D$337))</x:f>
        <x:v>0.5652085036794767</x:v>
      </x:c>
      <x:c r="F175" s="26" t="n">
        <x:f>IF(B175=0,0,B175/MAX($B$6:$B$337))</x:f>
        <x:v>0.03571428571428571</x:v>
      </x:c>
      <x:c r="G175" s="26" t="n">
        <x:f>'Resumen'!$B$9*E175+'Resumen'!$B$10*F175</x:f>
        <x:v>0.4063602382899194</x:v>
      </x:c>
      <x:c r="H175" s="8" t="n">
        <x:v>0</x:v>
      </x:c>
      <x:c r="I175" s="8" t="n">
        <x:v>7562.32</x:v>
      </x:c>
      <x:c r="J175" s="8" t="n">
        <x:f>MAX(H175-I175,0)</x:f>
        <x:v>0</x:v>
      </x:c>
      <x:c r="K175" s="8" t="n">
        <x:f>J175*G175</x:f>
        <x:v>0</x:v>
      </x:c>
      <x:c r="L175" s="8" t="n">
        <x:f>IFERROR('Resumen'!$B$14*K175/SUM($K$6:$K$337),0)</x:f>
        <x:v>0</x:v>
      </x:c>
      <x:c r="M175" s="8" t="n">
        <x:f>I175+L175</x:f>
        <x:v>7562.32</x:v>
      </x:c>
      <x:c r="N175" s="8" t="n">
        <x:v>0</x:v>
      </x:c>
      <x:c r="O175" s="8" t="n">
        <x:f>N175*'Resumen'!$B$8</x:f>
        <x:v>0</x:v>
      </x:c>
      <x:c r="P175" s="8" t="n">
        <x:f>M175+O175</x:f>
        <x:v>7562.32</x:v>
      </x:c>
      <x:c r="Q175" s="8" t="n">
        <x:f>P175-H175</x:f>
        <x:v>7562.32</x:v>
      </x:c>
      <x:c r="R175" s="8" t="n">
        <x:v>0</x:v>
      </x:c>
      <x:c r="S175" s="8" t="n">
        <x:f>R175*'Resumen'!$B$8</x:f>
        <x:v>0</x:v>
      </x:c>
      <x:c r="T175" s="8" t="n">
        <x:f>M175+S175</x:f>
        <x:v>7562.32</x:v>
      </x:c>
      <x:c r="U175" s="8" t="n">
        <x:f>T175-H175</x:f>
        <x:v>7562.32</x:v>
      </x:c>
      <x:c r="V175" s="27" t="n">
        <x:v>0</x:v>
      </x:c>
    </x:row>
    <x:row r="176">
      <x:c r="A176" s="28" t="str">
        <x:v>735097</x:v>
      </x:c>
      <x:c r="B176" s="25" t="n">
        <x:v>15</x:v>
      </x:c>
      <x:c r="C176" s="25" t="n">
        <x:v>11633</x:v>
      </x:c>
      <x:c r="D176" s="25" t="n">
        <x:f>IF(B176=0,0,C176/B176)</x:f>
        <x:v>775.5333333333333</x:v>
      </x:c>
      <x:c r="E176" s="26" t="n">
        <x:f>IF(D176=0,0,D176/MAX($D$6:$D$337))</x:f>
        <x:v>0.5548582720087216</x:v>
      </x:c>
      <x:c r="F176" s="26" t="n">
        <x:f>IF(B176=0,0,B176/MAX($B$6:$B$337))</x:f>
        <x:v>0.5357142857142857</x:v>
      </x:c>
      <x:c r="G176" s="26" t="n">
        <x:f>'Resumen'!$B$9*E176+'Resumen'!$B$10*F176</x:f>
        <x:v>0.5491150761203908</x:v>
      </x:c>
      <x:c r="H176" s="8" t="n">
        <x:v>21687.04</x:v>
      </x:c>
      <x:c r="I176" s="8" t="n">
        <x:v>113396.70999999999</x:v>
      </x:c>
      <x:c r="J176" s="8" t="n">
        <x:f>MAX(H176-I176,0)</x:f>
        <x:v>0</x:v>
      </x:c>
      <x:c r="K176" s="8" t="n">
        <x:f>J176*G176</x:f>
        <x:v>0</x:v>
      </x:c>
      <x:c r="L176" s="8" t="n">
        <x:f>IFERROR('Resumen'!$B$14*K176/SUM($K$6:$K$337),0)</x:f>
        <x:v>0</x:v>
      </x:c>
      <x:c r="M176" s="8" t="n">
        <x:f>I176+L176</x:f>
        <x:v>113396.70999999999</x:v>
      </x:c>
      <x:c r="N176" s="8" t="n">
        <x:v>0</x:v>
      </x:c>
      <x:c r="O176" s="8" t="n">
        <x:f>N176*'Resumen'!$B$8</x:f>
        <x:v>0</x:v>
      </x:c>
      <x:c r="P176" s="8" t="n">
        <x:f>M176+O176</x:f>
        <x:v>113396.70999999999</x:v>
      </x:c>
      <x:c r="Q176" s="8" t="n">
        <x:f>P176-H176</x:f>
        <x:v>91709.66999999998</x:v>
      </x:c>
      <x:c r="R176" s="8" t="n">
        <x:v>0</x:v>
      </x:c>
      <x:c r="S176" s="8" t="n">
        <x:f>R176*'Resumen'!$B$8</x:f>
        <x:v>0</x:v>
      </x:c>
      <x:c r="T176" s="8" t="n">
        <x:f>M176+S176</x:f>
        <x:v>113396.70999999999</x:v>
      </x:c>
      <x:c r="U176" s="8" t="n">
        <x:f>T176-H176</x:f>
        <x:v>91709.66999999998</x:v>
      </x:c>
      <x:c r="V176" s="27" t="n">
        <x:v>0</x:v>
      </x:c>
    </x:row>
    <x:row r="177">
      <x:c r="A177" s="28" t="str">
        <x:v>735098</x:v>
      </x:c>
      <x:c r="B177" s="25" t="n">
        <x:v>19</x:v>
      </x:c>
      <x:c r="C177" s="25" t="n">
        <x:v>19162</x:v>
      </x:c>
      <x:c r="D177" s="25" t="n">
        <x:f>IF(B177=0,0,C177/B177)</x:f>
        <x:v>1008.5263157894736</x:v>
      </x:c>
      <x:c r="E177" s="26" t="n">
        <x:f>IF(D177=0,0,D177/MAX($D$6:$D$337))</x:f>
        <x:v>0.721553987175625</x:v>
      </x:c>
      <x:c r="F177" s="26" t="n">
        <x:f>IF(B177=0,0,B177/MAX($B$6:$B$337))</x:f>
        <x:v>0.6785714285714286</x:v>
      </x:c>
      <x:c r="G177" s="26" t="n">
        <x:f>'Resumen'!$B$9*E177+'Resumen'!$B$10*F177</x:f>
        <x:v>0.708659219594366</x:v>
      </x:c>
      <x:c r="H177" s="8" t="n">
        <x:v>189838.88999999998</x:v>
      </x:c>
      <x:c r="I177" s="8" t="n">
        <x:v>204616.02999999997</x:v>
      </x:c>
      <x:c r="J177" s="8" t="n">
        <x:f>MAX(H177-I177,0)</x:f>
        <x:v>0</x:v>
      </x:c>
      <x:c r="K177" s="8" t="n">
        <x:f>J177*G177</x:f>
        <x:v>0</x:v>
      </x:c>
      <x:c r="L177" s="8" t="n">
        <x:f>IFERROR('Resumen'!$B$14*K177/SUM($K$6:$K$337),0)</x:f>
        <x:v>0</x:v>
      </x:c>
      <x:c r="M177" s="8" t="n">
        <x:f>I177+L177</x:f>
        <x:v>204616.02999999997</x:v>
      </x:c>
      <x:c r="N177" s="8" t="n">
        <x:v>0</x:v>
      </x:c>
      <x:c r="O177" s="8" t="n">
        <x:f>N177*'Resumen'!$B$8</x:f>
        <x:v>0</x:v>
      </x:c>
      <x:c r="P177" s="8" t="n">
        <x:f>M177+O177</x:f>
        <x:v>204616.02999999997</x:v>
      </x:c>
      <x:c r="Q177" s="8" t="n">
        <x:f>P177-H177</x:f>
        <x:v>14777.139999999985</x:v>
      </x:c>
      <x:c r="R177" s="8" t="n">
        <x:v>0</x:v>
      </x:c>
      <x:c r="S177" s="8" t="n">
        <x:f>R177*'Resumen'!$B$8</x:f>
        <x:v>0</x:v>
      </x:c>
      <x:c r="T177" s="8" t="n">
        <x:f>M177+S177</x:f>
        <x:v>204616.02999999997</x:v>
      </x:c>
      <x:c r="U177" s="8" t="n">
        <x:f>T177-H177</x:f>
        <x:v>14777.139999999985</x:v>
      </x:c>
      <x:c r="V177" s="27" t="n">
        <x:v>0</x:v>
      </x:c>
    </x:row>
    <x:row r="178">
      <x:c r="A178" s="28" t="str">
        <x:v>735099</x:v>
      </x:c>
      <x:c r="B178" s="25" t="n">
        <x:v>22</x:v>
      </x:c>
      <x:c r="C178" s="25" t="n">
        <x:v>23828</x:v>
      </x:c>
      <x:c r="D178" s="25" t="n">
        <x:f>IF(B178=0,0,C178/B178)</x:f>
        <x:v>1083.090909090909</x:v>
      </x:c>
      <x:c r="E178" s="26" t="n">
        <x:f>IF(D178=0,0,D178/MAX($D$6:$D$337))</x:f>
        <x:v>0.7749015089571099</x:v>
      </x:c>
      <x:c r="F178" s="26" t="n">
        <x:f>IF(B178=0,0,B178/MAX($B$6:$B$337))</x:f>
        <x:v>0.7857142857142857</x:v>
      </x:c>
      <x:c r="G178" s="26" t="n">
        <x:f>'Resumen'!$B$9*E178+'Resumen'!$B$10*F178</x:f>
        <x:v>0.7781453419842626</x:v>
      </x:c>
      <x:c r="H178" s="8" t="n">
        <x:v>351245.32</x:v>
      </x:c>
      <x:c r="I178" s="8" t="n">
        <x:v>272377.38</x:v>
      </x:c>
      <x:c r="J178" s="8" t="n">
        <x:f>MAX(H178-I178,0)</x:f>
        <x:v>78867.94</x:v>
      </x:c>
      <x:c r="K178" s="8" t="n">
        <x:f>J178*G178</x:f>
        <x:v>61370.7201428943</x:v>
      </x:c>
      <x:c r="L178" s="8" t="n">
        <x:f>IFERROR('Resumen'!$B$14*K178/SUM($K$6:$K$337),0)</x:f>
        <x:v>44452.56373753756</x:v>
      </x:c>
      <x:c r="M178" s="8" t="n">
        <x:f>I178+L178</x:f>
        <x:v>316829.94373753754</x:v>
      </x:c>
      <x:c r="N178" s="8" t="n">
        <x:v>0</x:v>
      </x:c>
      <x:c r="O178" s="8" t="n">
        <x:f>N178*'Resumen'!$B$8</x:f>
        <x:v>0</x:v>
      </x:c>
      <x:c r="P178" s="8" t="n">
        <x:f>M178+O178</x:f>
        <x:v>316829.94373753754</x:v>
      </x:c>
      <x:c r="Q178" s="8" t="n">
        <x:f>P178-H178</x:f>
        <x:v>-34415.376262462465</x:v>
      </x:c>
      <x:c r="R178" s="8" t="n">
        <x:v>0</x:v>
      </x:c>
      <x:c r="S178" s="8" t="n">
        <x:f>R178*'Resumen'!$B$8</x:f>
        <x:v>0</x:v>
      </x:c>
      <x:c r="T178" s="8" t="n">
        <x:f>M178+S178</x:f>
        <x:v>316829.94373753754</x:v>
      </x:c>
      <x:c r="U178" s="8" t="n">
        <x:f>T178-H178</x:f>
        <x:v>-34415.376262462465</x:v>
      </x:c>
      <x:c r="V178" s="27" t="n">
        <x:v>0</x:v>
      </x:c>
    </x:row>
    <x:row r="179">
      <x:c r="A179" s="28" t="str">
        <x:v>735100</x:v>
      </x:c>
      <x:c r="B179" s="25" t="n">
        <x:v>19</x:v>
      </x:c>
      <x:c r="C179" s="25" t="n">
        <x:v>18570</x:v>
      </x:c>
      <x:c r="D179" s="25" t="n">
        <x:f>IF(B179=0,0,C179/B179)</x:f>
        <x:v>977.3684210526316</x:v>
      </x:c>
      <x:c r="E179" s="26" t="n">
        <x:f>IF(D179=0,0,D179/MAX($D$6:$D$337))</x:f>
        <x:v>0.6992619529199121</x:v>
      </x:c>
      <x:c r="F179" s="26" t="n">
        <x:f>IF(B179=0,0,B179/MAX($B$6:$B$337))</x:f>
        <x:v>0.6785714285714286</x:v>
      </x:c>
      <x:c r="G179" s="26" t="n">
        <x:f>'Resumen'!$B$9*E179+'Resumen'!$B$10*F179</x:f>
        <x:v>0.693054795615367</x:v>
      </x:c>
      <x:c r="H179" s="8" t="n">
        <x:v>191146.14999999997</x:v>
      </x:c>
      <x:c r="I179" s="8" t="n">
        <x:v>178977.17</x:v>
      </x:c>
      <x:c r="J179" s="8" t="n">
        <x:f>MAX(H179-I179,0)</x:f>
        <x:v>12168.979999999952</x:v>
      </x:c>
      <x:c r="K179" s="8" t="n">
        <x:f>J179*G179</x:f>
        <x:v>8433.769946747456</x:v>
      </x:c>
      <x:c r="L179" s="8" t="n">
        <x:f>IFERROR('Resumen'!$B$14*K179/SUM($K$6:$K$337),0)</x:f>
        <x:v>6108.820219684639</x:v>
      </x:c>
      <x:c r="M179" s="8" t="n">
        <x:f>I179+L179</x:f>
        <x:v>185085.99021968464</x:v>
      </x:c>
      <x:c r="N179" s="8" t="n">
        <x:v>0</x:v>
      </x:c>
      <x:c r="O179" s="8" t="n">
        <x:f>N179*'Resumen'!$B$8</x:f>
        <x:v>0</x:v>
      </x:c>
      <x:c r="P179" s="8" t="n">
        <x:f>M179+O179</x:f>
        <x:v>185085.99021968464</x:v>
      </x:c>
      <x:c r="Q179" s="8" t="n">
        <x:f>P179-H179</x:f>
        <x:v>-6060.159780315327</x:v>
      </x:c>
      <x:c r="R179" s="8" t="n">
        <x:v>0</x:v>
      </x:c>
      <x:c r="S179" s="8" t="n">
        <x:f>R179*'Resumen'!$B$8</x:f>
        <x:v>0</x:v>
      </x:c>
      <x:c r="T179" s="8" t="n">
        <x:f>M179+S179</x:f>
        <x:v>185085.99021968464</x:v>
      </x:c>
      <x:c r="U179" s="8" t="n">
        <x:f>T179-H179</x:f>
        <x:v>-6060.159780315327</x:v>
      </x:c>
      <x:c r="V179" s="27" t="n">
        <x:v>0</x:v>
      </x:c>
    </x:row>
    <x:row r="180">
      <x:c r="A180" s="28" t="str">
        <x:v>735101</x:v>
      </x:c>
      <x:c r="B180" s="25" t="n">
        <x:v>23</x:v>
      </x:c>
      <x:c r="C180" s="25" t="n">
        <x:v>28456</x:v>
      </x:c>
      <x:c r="D180" s="25" t="n">
        <x:f>IF(B180=0,0,C180/B180)</x:f>
        <x:v>1237.2173913043478</x:v>
      </x:c>
      <x:c r="E180" s="26" t="n">
        <x:f>IF(D180=0,0,D180/MAX($D$6:$D$337))</x:f>
        <x:v>0.8851718866650076</x:v>
      </x:c>
      <x:c r="F180" s="26" t="n">
        <x:f>IF(B180=0,0,B180/MAX($B$6:$B$337))</x:f>
        <x:v>0.8214285714285714</x:v>
      </x:c>
      <x:c r="G180" s="26" t="n">
        <x:f>'Resumen'!$B$9*E180+'Resumen'!$B$10*F180</x:f>
        <x:v>0.8660488920940766</x:v>
      </x:c>
      <x:c r="H180" s="8" t="n">
        <x:v>518077.57</x:v>
      </x:c>
      <x:c r="I180" s="8" t="n">
        <x:v>346586.6499999999</x:v>
      </x:c>
      <x:c r="J180" s="8" t="n">
        <x:f>MAX(H180-I180,0)</x:f>
        <x:v>171490.9200000001</x:v>
      </x:c>
      <x:c r="K180" s="8" t="n">
        <x:f>J180*G180</x:f>
        <x:v>148519.521270194</x:v>
      </x:c>
      <x:c r="L180" s="8" t="n">
        <x:f>IFERROR('Resumen'!$B$14*K180/SUM($K$6:$K$337),0)</x:f>
        <x:v>107576.92707792469</x:v>
      </x:c>
      <x:c r="M180" s="8" t="n">
        <x:f>I180+L180</x:f>
        <x:v>454163.5770779246</x:v>
      </x:c>
      <x:c r="N180" s="8" t="n">
        <x:v>0</x:v>
      </x:c>
      <x:c r="O180" s="8" t="n">
        <x:f>N180*'Resumen'!$B$8</x:f>
        <x:v>0</x:v>
      </x:c>
      <x:c r="P180" s="8" t="n">
        <x:f>M180+O180</x:f>
        <x:v>454163.5770779246</x:v>
      </x:c>
      <x:c r="Q180" s="8" t="n">
        <x:f>P180-H180</x:f>
        <x:v>-63913.992922075384</x:v>
      </x:c>
      <x:c r="R180" s="8" t="n">
        <x:v>0</x:v>
      </x:c>
      <x:c r="S180" s="8" t="n">
        <x:f>R180*'Resumen'!$B$8</x:f>
        <x:v>0</x:v>
      </x:c>
      <x:c r="T180" s="8" t="n">
        <x:f>M180+S180</x:f>
        <x:v>454163.5770779246</x:v>
      </x:c>
      <x:c r="U180" s="8" t="n">
        <x:f>T180-H180</x:f>
        <x:v>-63913.992922075384</x:v>
      </x:c>
      <x:c r="V180" s="27" t="n">
        <x:v>0</x:v>
      </x:c>
    </x:row>
    <x:row r="181">
      <x:c r="A181" s="28" t="str">
        <x:v>735102</x:v>
      </x:c>
      <x:c r="B181" s="25" t="n">
        <x:v>22</x:v>
      </x:c>
      <x:c r="C181" s="25" t="n">
        <x:v>27988</x:v>
      </x:c>
      <x:c r="D181" s="25" t="n">
        <x:f>IF(B181=0,0,C181/B181)</x:f>
        <x:v>1272.1818181818182</x:v>
      </x:c>
      <x:c r="E181" s="26" t="n">
        <x:f>IF(D181=0,0,D181/MAX($D$6:$D$337))</x:f>
        <x:v>0.9101873188136476</x:v>
      </x:c>
      <x:c r="F181" s="26" t="n">
        <x:f>IF(B181=0,0,B181/MAX($B$6:$B$337))</x:f>
        <x:v>0.7857142857142857</x:v>
      </x:c>
      <x:c r="G181" s="26" t="n">
        <x:f>'Resumen'!$B$9*E181+'Resumen'!$B$10*F181</x:f>
        <x:v>0.8728454088838389</x:v>
      </x:c>
      <x:c r="H181" s="8" t="n">
        <x:v>428825.06</x:v>
      </x:c>
      <x:c r="I181" s="8" t="n">
        <x:v>308546.57999999996</x:v>
      </x:c>
      <x:c r="J181" s="8" t="n">
        <x:f>MAX(H181-I181,0)</x:f>
        <x:v>120278.48000000004</x:v>
      </x:c>
      <x:c r="K181" s="8" t="n">
        <x:f>J181*G181</x:f>
        <x:v>104984.51905552667</x:v>
      </x:c>
      <x:c r="L181" s="8" t="n">
        <x:f>IFERROR('Resumen'!$B$14*K181/SUM($K$6:$K$337),0)</x:f>
        <x:v>76043.28275608261</x:v>
      </x:c>
      <x:c r="M181" s="8" t="n">
        <x:f>I181+L181</x:f>
        <x:v>384589.86275608256</x:v>
      </x:c>
      <x:c r="N181" s="8" t="n">
        <x:v>0</x:v>
      </x:c>
      <x:c r="O181" s="8" t="n">
        <x:f>N181*'Resumen'!$B$8</x:f>
        <x:v>0</x:v>
      </x:c>
      <x:c r="P181" s="8" t="n">
        <x:f>M181+O181</x:f>
        <x:v>384589.86275608256</x:v>
      </x:c>
      <x:c r="Q181" s="8" t="n">
        <x:f>P181-H181</x:f>
        <x:v>-44235.19724391744</x:v>
      </x:c>
      <x:c r="R181" s="8" t="n">
        <x:v>0</x:v>
      </x:c>
      <x:c r="S181" s="8" t="n">
        <x:f>R181*'Resumen'!$B$8</x:f>
        <x:v>0</x:v>
      </x:c>
      <x:c r="T181" s="8" t="n">
        <x:f>M181+S181</x:f>
        <x:v>384589.86275608256</x:v>
      </x:c>
      <x:c r="U181" s="8" t="n">
        <x:f>T181-H181</x:f>
        <x:v>-44235.19724391744</x:v>
      </x:c>
      <x:c r="V181" s="27" t="n">
        <x:v>0</x:v>
      </x:c>
    </x:row>
    <x:row r="182">
      <x:c r="A182" s="28" t="str">
        <x:v>735103</x:v>
      </x:c>
      <x:c r="B182" s="25" t="n">
        <x:v>16</x:v>
      </x:c>
      <x:c r="C182" s="25" t="n">
        <x:v>13647</x:v>
      </x:c>
      <x:c r="D182" s="25" t="n">
        <x:f>IF(B182=0,0,C182/B182)</x:f>
        <x:v>852.9375</x:v>
      </x:c>
      <x:c r="E182" s="26" t="n">
        <x:f>IF(D182=0,0,D182/MAX($D$6:$D$337))</x:f>
        <x:v>0.6102373773507768</x:v>
      </x:c>
      <x:c r="F182" s="26" t="n">
        <x:f>IF(B182=0,0,B182/MAX($B$6:$B$337))</x:f>
        <x:v>0.5714285714285714</x:v>
      </x:c>
      <x:c r="G182" s="26" t="n">
        <x:f>'Resumen'!$B$9*E182+'Resumen'!$B$10*F182</x:f>
        <x:v>0.5985947355741151</x:v>
      </x:c>
      <x:c r="H182" s="8" t="n">
        <x:v>84131.48</x:v>
      </x:c>
      <x:c r="I182" s="8" t="n">
        <x:v>135528.75</x:v>
      </x:c>
      <x:c r="J182" s="8" t="n">
        <x:f>MAX(H182-I182,0)</x:f>
        <x:v>0</x:v>
      </x:c>
      <x:c r="K182" s="8" t="n">
        <x:f>J182*G182</x:f>
        <x:v>0</x:v>
      </x:c>
      <x:c r="L182" s="8" t="n">
        <x:f>IFERROR('Resumen'!$B$14*K182/SUM($K$6:$K$337),0)</x:f>
        <x:v>0</x:v>
      </x:c>
      <x:c r="M182" s="8" t="n">
        <x:f>I182+L182</x:f>
        <x:v>135528.75</x:v>
      </x:c>
      <x:c r="N182" s="8" t="n">
        <x:v>0</x:v>
      </x:c>
      <x:c r="O182" s="8" t="n">
        <x:f>N182*'Resumen'!$B$8</x:f>
        <x:v>0</x:v>
      </x:c>
      <x:c r="P182" s="8" t="n">
        <x:f>M182+O182</x:f>
        <x:v>135528.75</x:v>
      </x:c>
      <x:c r="Q182" s="8" t="n">
        <x:f>P182-H182</x:f>
        <x:v>51397.270000000004</x:v>
      </x:c>
      <x:c r="R182" s="8" t="n">
        <x:v>0</x:v>
      </x:c>
      <x:c r="S182" s="8" t="n">
        <x:f>R182*'Resumen'!$B$8</x:f>
        <x:v>0</x:v>
      </x:c>
      <x:c r="T182" s="8" t="n">
        <x:f>M182+S182</x:f>
        <x:v>135528.75</x:v>
      </x:c>
      <x:c r="U182" s="8" t="n">
        <x:f>T182-H182</x:f>
        <x:v>51397.270000000004</x:v>
      </x:c>
      <x:c r="V182" s="27" t="n">
        <x:v>0</x:v>
      </x:c>
    </x:row>
    <x:row r="183">
      <x:c r="A183" s="28" t="str">
        <x:v>735105</x:v>
      </x:c>
      <x:c r="B183" s="25" t="n">
        <x:v>23</x:v>
      </x:c>
      <x:c r="C183" s="25" t="n">
        <x:v>17751</x:v>
      </x:c>
      <x:c r="D183" s="25" t="n">
        <x:f>IF(B183=0,0,C183/B183)</x:f>
        <x:v>771.7826086956521</x:v>
      </x:c>
      <x:c r="E183" s="26" t="n">
        <x:f>IF(D183=0,0,D183/MAX($D$6:$D$337))</x:f>
        <x:v>0.5521748018059653</x:v>
      </x:c>
      <x:c r="F183" s="26" t="n">
        <x:f>IF(B183=0,0,B183/MAX($B$6:$B$337))</x:f>
        <x:v>0.8214285714285714</x:v>
      </x:c>
      <x:c r="G183" s="26" t="n">
        <x:f>'Resumen'!$B$9*E183+'Resumen'!$B$10*F183</x:f>
        <x:v>0.6329509326927472</x:v>
      </x:c>
      <x:c r="H183" s="8" t="n">
        <x:v>158805.57999999996</x:v>
      </x:c>
      <x:c r="I183" s="8" t="n">
        <x:v>130052.28</x:v>
      </x:c>
      <x:c r="J183" s="8" t="n">
        <x:f>MAX(H183-I183,0)</x:f>
        <x:v>28753.29999999996</x:v>
      </x:c>
      <x:c r="K183" s="8" t="n">
        <x:f>J183*G183</x:f>
        <x:v>18199.428052994343</x:v>
      </x:c>
      <x:c r="L183" s="8" t="n">
        <x:f>IFERROR('Resumen'!$B$14*K183/SUM($K$6:$K$337),0)</x:f>
        <x:v>13182.365037085685</x:v>
      </x:c>
      <x:c r="M183" s="8" t="n">
        <x:f>I183+L183</x:f>
        <x:v>143234.6450370857</x:v>
      </x:c>
      <x:c r="N183" s="8" t="n">
        <x:v>0</x:v>
      </x:c>
      <x:c r="O183" s="8" t="n">
        <x:f>N183*'Resumen'!$B$8</x:f>
        <x:v>0</x:v>
      </x:c>
      <x:c r="P183" s="8" t="n">
        <x:f>M183+O183</x:f>
        <x:v>143234.6450370857</x:v>
      </x:c>
      <x:c r="Q183" s="8" t="n">
        <x:f>P183-H183</x:f>
        <x:v>-15570.934962914267</x:v>
      </x:c>
      <x:c r="R183" s="8" t="n">
        <x:v>0</x:v>
      </x:c>
      <x:c r="S183" s="8" t="n">
        <x:f>R183*'Resumen'!$B$8</x:f>
        <x:v>0</x:v>
      </x:c>
      <x:c r="T183" s="8" t="n">
        <x:f>M183+S183</x:f>
        <x:v>143234.6450370857</x:v>
      </x:c>
      <x:c r="U183" s="8" t="n">
        <x:f>T183-H183</x:f>
        <x:v>-15570.934962914267</x:v>
      </x:c>
      <x:c r="V183" s="27" t="n">
        <x:v>0</x:v>
      </x:c>
    </x:row>
    <x:row r="184">
      <x:c r="A184" s="28" t="str">
        <x:v>735193</x:v>
      </x:c>
      <x:c r="B184" s="25" t="n">
        <x:v>9</x:v>
      </x:c>
      <x:c r="C184" s="25" t="n">
        <x:v>7817</x:v>
      </x:c>
      <x:c r="D184" s="25" t="n">
        <x:f>IF(B184=0,0,C184/B184)</x:f>
        <x:v>868.5555555555555</x:v>
      </x:c>
      <x:c r="E184" s="26" t="n">
        <x:f>IF(D184=0,0,D184/MAX($D$6:$D$337))</x:f>
        <x:v>0.6214113745798128</x:v>
      </x:c>
      <x:c r="F184" s="26" t="n">
        <x:f>IF(B184=0,0,B184/MAX($B$6:$B$337))</x:f>
        <x:v>0.32142857142857145</x:v>
      </x:c>
      <x:c r="G184" s="26" t="n">
        <x:f>'Resumen'!$B$9*E184+'Resumen'!$B$10*F184</x:f>
        <x:v>0.5314165336344404</x:v>
      </x:c>
      <x:c r="H184" s="8" t="n">
        <x:v>38981.42</x:v>
      </x:c>
      <x:c r="I184" s="8" t="n">
        <x:v>76309.78</x:v>
      </x:c>
      <x:c r="J184" s="8" t="n">
        <x:f>MAX(H184-I184,0)</x:f>
        <x:v>0</x:v>
      </x:c>
      <x:c r="K184" s="8" t="n">
        <x:f>J184*G184</x:f>
        <x:v>0</x:v>
      </x:c>
      <x:c r="L184" s="8" t="n">
        <x:f>IFERROR('Resumen'!$B$14*K184/SUM($K$6:$K$337),0)</x:f>
        <x:v>0</x:v>
      </x:c>
      <x:c r="M184" s="8" t="n">
        <x:f>I184+L184</x:f>
        <x:v>76309.78</x:v>
      </x:c>
      <x:c r="N184" s="8" t="n">
        <x:v>0</x:v>
      </x:c>
      <x:c r="O184" s="8" t="n">
        <x:f>N184*'Resumen'!$B$8</x:f>
        <x:v>0</x:v>
      </x:c>
      <x:c r="P184" s="8" t="n">
        <x:f>M184+O184</x:f>
        <x:v>76309.78</x:v>
      </x:c>
      <x:c r="Q184" s="8" t="n">
        <x:f>P184-H184</x:f>
        <x:v>37328.36</x:v>
      </x:c>
      <x:c r="R184" s="8" t="n">
        <x:v>0</x:v>
      </x:c>
      <x:c r="S184" s="8" t="n">
        <x:f>R184*'Resumen'!$B$8</x:f>
        <x:v>0</x:v>
      </x:c>
      <x:c r="T184" s="8" t="n">
        <x:f>M184+S184</x:f>
        <x:v>76309.78</x:v>
      </x:c>
      <x:c r="U184" s="8" t="n">
        <x:f>T184-H184</x:f>
        <x:v>37328.36</x:v>
      </x:c>
      <x:c r="V184" s="27" t="n">
        <x:v>0</x:v>
      </x:c>
    </x:row>
    <x:row r="185">
      <x:c r="A185" s="28" t="str">
        <x:v>735196</x:v>
      </x:c>
      <x:c r="B185" s="25" t="n">
        <x:v>10</x:v>
      </x:c>
      <x:c r="C185" s="25" t="n">
        <x:v>7442</x:v>
      </x:c>
      <x:c r="D185" s="25" t="n">
        <x:f>IF(B185=0,0,C185/B185)</x:f>
        <x:v>744.2</x:v>
      </x:c>
      <x:c r="E185" s="26" t="n">
        <x:f>IF(D185=0,0,D185/MAX($D$6:$D$337))</x:f>
        <x:v>0.5324407195421096</x:v>
      </x:c>
      <x:c r="F185" s="26" t="n">
        <x:f>IF(B185=0,0,B185/MAX($B$6:$B$337))</x:f>
        <x:v>0.35714285714285715</x:v>
      </x:c>
      <x:c r="G185" s="26" t="n">
        <x:f>'Resumen'!$B$9*E185+'Resumen'!$B$10*F185</x:f>
        <x:v>0.4798513608223338</x:v>
      </x:c>
      <x:c r="H185" s="8" t="n">
        <x:v>22921.010000000002</x:v>
      </x:c>
      <x:c r="I185" s="8" t="n">
        <x:v>58931.9</x:v>
      </x:c>
      <x:c r="J185" s="8" t="n">
        <x:f>MAX(H185-I185,0)</x:f>
        <x:v>0</x:v>
      </x:c>
      <x:c r="K185" s="8" t="n">
        <x:f>J185*G185</x:f>
        <x:v>0</x:v>
      </x:c>
      <x:c r="L185" s="8" t="n">
        <x:f>IFERROR('Resumen'!$B$14*K185/SUM($K$6:$K$337),0)</x:f>
        <x:v>0</x:v>
      </x:c>
      <x:c r="M185" s="8" t="n">
        <x:f>I185+L185</x:f>
        <x:v>58931.9</x:v>
      </x:c>
      <x:c r="N185" s="8" t="n">
        <x:v>0</x:v>
      </x:c>
      <x:c r="O185" s="8" t="n">
        <x:f>N185*'Resumen'!$B$8</x:f>
        <x:v>0</x:v>
      </x:c>
      <x:c r="P185" s="8" t="n">
        <x:f>M185+O185</x:f>
        <x:v>58931.9</x:v>
      </x:c>
      <x:c r="Q185" s="8" t="n">
        <x:f>P185-H185</x:f>
        <x:v>36010.89</x:v>
      </x:c>
      <x:c r="R185" s="8" t="n">
        <x:v>0</x:v>
      </x:c>
      <x:c r="S185" s="8" t="n">
        <x:f>R185*'Resumen'!$B$8</x:f>
        <x:v>0</x:v>
      </x:c>
      <x:c r="T185" s="8" t="n">
        <x:f>M185+S185</x:f>
        <x:v>58931.9</x:v>
      </x:c>
      <x:c r="U185" s="8" t="n">
        <x:f>T185-H185</x:f>
        <x:v>36010.89</x:v>
      </x:c>
      <x:c r="V185" s="27" t="n">
        <x:v>0</x:v>
      </x:c>
    </x:row>
    <x:row r="186">
      <x:c r="A186" s="28" t="str">
        <x:v>735197</x:v>
      </x:c>
      <x:c r="B186" s="25" t="n">
        <x:v>9</x:v>
      </x:c>
      <x:c r="C186" s="25" t="n">
        <x:v>7098</x:v>
      </x:c>
      <x:c r="D186" s="25" t="n">
        <x:f>IF(B186=0,0,C186/B186)</x:f>
        <x:v>788.6666666666666</x:v>
      </x:c>
      <x:c r="E186" s="26" t="n">
        <x:f>IF(D186=0,0,D186/MAX($D$6:$D$337))</x:f>
        <x:v>0.5642545652766421</x:v>
      </x:c>
      <x:c r="F186" s="26" t="n">
        <x:f>IF(B186=0,0,B186/MAX($B$6:$B$337))</x:f>
        <x:v>0.32142857142857145</x:v>
      </x:c>
      <x:c r="G186" s="26" t="n">
        <x:f>'Resumen'!$B$9*E186+'Resumen'!$B$10*F186</x:f>
        <x:v>0.49140676712222087</x:v>
      </x:c>
      <x:c r="H186" s="8" t="n">
        <x:v>73190.15000000001</x:v>
      </x:c>
      <x:c r="I186" s="8" t="n">
        <x:v>33237.60999999999</x:v>
      </x:c>
      <x:c r="J186" s="8" t="n">
        <x:f>MAX(H186-I186,0)</x:f>
        <x:v>39952.540000000015</x:v>
      </x:c>
      <x:c r="K186" s="8" t="n">
        <x:f>J186*G186</x:f>
        <x:v>19632.948519721223</x:v>
      </x:c>
      <x:c r="L186" s="8" t="n">
        <x:f>IFERROR('Resumen'!$B$14*K186/SUM($K$6:$K$337),0)</x:f>
        <x:v>14220.704814879859</x:v>
      </x:c>
      <x:c r="M186" s="8" t="n">
        <x:f>I186+L186</x:f>
        <x:v>47458.31481487985</x:v>
      </x:c>
      <x:c r="N186" s="8" t="n">
        <x:v>0</x:v>
      </x:c>
      <x:c r="O186" s="8" t="n">
        <x:f>N186*'Resumen'!$B$8</x:f>
        <x:v>0</x:v>
      </x:c>
      <x:c r="P186" s="8" t="n">
        <x:f>M186+O186</x:f>
        <x:v>47458.31481487985</x:v>
      </x:c>
      <x:c r="Q186" s="8" t="n">
        <x:f>P186-H186</x:f>
        <x:v>-25731.83518512016</x:v>
      </x:c>
      <x:c r="R186" s="8" t="n">
        <x:v>0</x:v>
      </x:c>
      <x:c r="S186" s="8" t="n">
        <x:f>R186*'Resumen'!$B$8</x:f>
        <x:v>0</x:v>
      </x:c>
      <x:c r="T186" s="8" t="n">
        <x:f>M186+S186</x:f>
        <x:v>47458.31481487985</x:v>
      </x:c>
      <x:c r="U186" s="8" t="n">
        <x:f>T186-H186</x:f>
        <x:v>-25731.83518512016</x:v>
      </x:c>
      <x:c r="V186" s="27" t="n">
        <x:v>0</x:v>
      </x:c>
    </x:row>
    <x:row r="187">
      <x:c r="A187" s="28" t="str">
        <x:v>735198</x:v>
      </x:c>
      <x:c r="B187" s="25" t="n">
        <x:v>14</x:v>
      </x:c>
      <x:c r="C187" s="25" t="n">
        <x:v>8123</x:v>
      </x:c>
      <x:c r="D187" s="25" t="n">
        <x:f>IF(B187=0,0,C187/B187)</x:f>
        <x:v>580.2142857142857</x:v>
      </x:c>
      <x:c r="E187" s="26" t="n">
        <x:f>IF(D187=0,0,D187/MAX($D$6:$D$337))</x:f>
        <x:v>0.41511651676206046</x:v>
      </x:c>
      <x:c r="F187" s="26" t="n">
        <x:f>IF(B187=0,0,B187/MAX($B$6:$B$337))</x:f>
        <x:v>0.5</x:v>
      </x:c>
      <x:c r="G187" s="26" t="n">
        <x:f>'Resumen'!$B$9*E187+'Resumen'!$B$10*F187</x:f>
        <x:v>0.4405815617334423</x:v>
      </x:c>
      <x:c r="H187" s="8" t="n">
        <x:v>0</x:v>
      </x:c>
      <x:c r="I187" s="8" t="n">
        <x:v>51752.409999999996</x:v>
      </x:c>
      <x:c r="J187" s="8" t="n">
        <x:f>MAX(H187-I187,0)</x:f>
        <x:v>0</x:v>
      </x:c>
      <x:c r="K187" s="8" t="n">
        <x:f>J187*G187</x:f>
        <x:v>0</x:v>
      </x:c>
      <x:c r="L187" s="8" t="n">
        <x:f>IFERROR('Resumen'!$B$14*K187/SUM($K$6:$K$337),0)</x:f>
        <x:v>0</x:v>
      </x:c>
      <x:c r="M187" s="8" t="n">
        <x:f>I187+L187</x:f>
        <x:v>51752.409999999996</x:v>
      </x:c>
      <x:c r="N187" s="8" t="n">
        <x:v>0</x:v>
      </x:c>
      <x:c r="O187" s="8" t="n">
        <x:f>N187*'Resumen'!$B$8</x:f>
        <x:v>0</x:v>
      </x:c>
      <x:c r="P187" s="8" t="n">
        <x:f>M187+O187</x:f>
        <x:v>51752.409999999996</x:v>
      </x:c>
      <x:c r="Q187" s="8" t="n">
        <x:f>P187-H187</x:f>
        <x:v>51752.409999999996</x:v>
      </x:c>
      <x:c r="R187" s="8" t="n">
        <x:v>0</x:v>
      </x:c>
      <x:c r="S187" s="8" t="n">
        <x:f>R187*'Resumen'!$B$8</x:f>
        <x:v>0</x:v>
      </x:c>
      <x:c r="T187" s="8" t="n">
        <x:f>M187+S187</x:f>
        <x:v>51752.409999999996</x:v>
      </x:c>
      <x:c r="U187" s="8" t="n">
        <x:f>T187-H187</x:f>
        <x:v>51752.409999999996</x:v>
      </x:c>
      <x:c r="V187" s="27" t="n">
        <x:v>0</x:v>
      </x:c>
    </x:row>
    <x:row r="188">
      <x:c r="A188" s="28" t="str">
        <x:v>735201</x:v>
      </x:c>
      <x:c r="B188" s="25" t="n">
        <x:v>5</x:v>
      </x:c>
      <x:c r="C188" s="25" t="n">
        <x:v>3068</x:v>
      </x:c>
      <x:c r="D188" s="25" t="n">
        <x:f>IF(B188=0,0,C188/B188)</x:f>
        <x:v>613.6</x:v>
      </x:c>
      <x:c r="E188" s="26" t="n">
        <x:f>IF(D188=0,0,D188/MAX($D$6:$D$337))</x:f>
        <x:v>0.43900245298446444</x:v>
      </x:c>
      <x:c r="F188" s="26" t="n">
        <x:f>IF(B188=0,0,B188/MAX($B$6:$B$337))</x:f>
        <x:v>0.17857142857142858</x:v>
      </x:c>
      <x:c r="G188" s="26" t="n">
        <x:f>'Resumen'!$B$9*E188+'Resumen'!$B$10*F188</x:f>
        <x:v>0.3608731456605536</x:v>
      </x:c>
      <x:c r="H188" s="8" t="n">
        <x:v>0</x:v>
      </x:c>
      <x:c r="I188" s="8" t="n">
        <x:v>34832.61</x:v>
      </x:c>
      <x:c r="J188" s="8" t="n">
        <x:f>MAX(H188-I188,0)</x:f>
        <x:v>0</x:v>
      </x:c>
      <x:c r="K188" s="8" t="n">
        <x:f>J188*G188</x:f>
        <x:v>0</x:v>
      </x:c>
      <x:c r="L188" s="8" t="n">
        <x:f>IFERROR('Resumen'!$B$14*K188/SUM($K$6:$K$337),0)</x:f>
        <x:v>0</x:v>
      </x:c>
      <x:c r="M188" s="8" t="n">
        <x:f>I188+L188</x:f>
        <x:v>34832.61</x:v>
      </x:c>
      <x:c r="N188" s="8" t="n">
        <x:v>0</x:v>
      </x:c>
      <x:c r="O188" s="8" t="n">
        <x:f>N188*'Resumen'!$B$8</x:f>
        <x:v>0</x:v>
      </x:c>
      <x:c r="P188" s="8" t="n">
        <x:f>M188+O188</x:f>
        <x:v>34832.61</x:v>
      </x:c>
      <x:c r="Q188" s="8" t="n">
        <x:f>P188-H188</x:f>
        <x:v>34832.61</x:v>
      </x:c>
      <x:c r="R188" s="8" t="n">
        <x:v>0</x:v>
      </x:c>
      <x:c r="S188" s="8" t="n">
        <x:f>R188*'Resumen'!$B$8</x:f>
        <x:v>0</x:v>
      </x:c>
      <x:c r="T188" s="8" t="n">
        <x:f>M188+S188</x:f>
        <x:v>34832.61</x:v>
      </x:c>
      <x:c r="U188" s="8" t="n">
        <x:f>T188-H188</x:f>
        <x:v>34832.61</x:v>
      </x:c>
      <x:c r="V188" s="27" t="n">
        <x:v>0</x:v>
      </x:c>
    </x:row>
    <x:row r="189">
      <x:c r="A189" s="28" t="str">
        <x:v>735245</x:v>
      </x:c>
      <x:c r="B189" s="25" t="n">
        <x:v>7</x:v>
      </x:c>
      <x:c r="C189" s="25" t="n">
        <x:v>6805</x:v>
      </x:c>
      <x:c r="D189" s="25" t="n">
        <x:f>IF(B189=0,0,C189/B189)</x:f>
        <x:v>972.1428571428571</x:v>
      </x:c>
      <x:c r="E189" s="26" t="n">
        <x:f>IF(D189=0,0,D189/MAX($D$6:$D$337))</x:f>
        <x:v>0.6955233033524121</x:v>
      </x:c>
      <x:c r="F189" s="26" t="n">
        <x:f>IF(B189=0,0,B189/MAX($B$6:$B$337))</x:f>
        <x:v>0.25</x:v>
      </x:c>
      <x:c r="G189" s="26" t="n">
        <x:f>'Resumen'!$B$9*E189+'Resumen'!$B$10*F189</x:f>
        <x:v>0.5618663123466884</x:v>
      </x:c>
      <x:c r="H189" s="8" t="n">
        <x:v>76139.43000000001</x:v>
      </x:c>
      <x:c r="I189" s="8" t="n">
        <x:v>73689.67</x:v>
      </x:c>
      <x:c r="J189" s="8" t="n">
        <x:f>MAX(H189-I189,0)</x:f>
        <x:v>2449.7600000000093</x:v>
      </x:c>
      <x:c r="K189" s="8" t="n">
        <x:f>J189*G189</x:f>
        <x:v>1376.4376173344285</x:v>
      </x:c>
      <x:c r="L189" s="8" t="n">
        <x:f>IFERROR('Resumen'!$B$14*K189/SUM($K$6:$K$337),0)</x:f>
        <x:v>996.9930411903003</x:v>
      </x:c>
      <x:c r="M189" s="8" t="n">
        <x:f>I189+L189</x:f>
        <x:v>74686.6630411903</x:v>
      </x:c>
      <x:c r="N189" s="8" t="n">
        <x:v>0</x:v>
      </x:c>
      <x:c r="O189" s="8" t="n">
        <x:f>N189*'Resumen'!$B$8</x:f>
        <x:v>0</x:v>
      </x:c>
      <x:c r="P189" s="8" t="n">
        <x:f>M189+O189</x:f>
        <x:v>74686.6630411903</x:v>
      </x:c>
      <x:c r="Q189" s="8" t="n">
        <x:f>P189-H189</x:f>
        <x:v>-1452.766958809705</x:v>
      </x:c>
      <x:c r="R189" s="8" t="n">
        <x:v>0</x:v>
      </x:c>
      <x:c r="S189" s="8" t="n">
        <x:f>R189*'Resumen'!$B$8</x:f>
        <x:v>0</x:v>
      </x:c>
      <x:c r="T189" s="8" t="n">
        <x:f>M189+S189</x:f>
        <x:v>74686.6630411903</x:v>
      </x:c>
      <x:c r="U189" s="8" t="n">
        <x:f>T189-H189</x:f>
        <x:v>-1452.766958809705</x:v>
      </x:c>
      <x:c r="V189" s="27" t="n">
        <x:v>0</x:v>
      </x:c>
    </x:row>
    <x:row r="190">
      <x:c r="A190" s="28" t="str">
        <x:v>735248</x:v>
      </x:c>
      <x:c r="B190" s="25" t="n">
        <x:v>7</x:v>
      </x:c>
      <x:c r="C190" s="25" t="n">
        <x:v>7371</x:v>
      </x:c>
      <x:c r="D190" s="25" t="n">
        <x:f>IF(B190=0,0,C190/B190)</x:f>
        <x:v>1053</x:v>
      </x:c>
      <x:c r="E190" s="26" t="n">
        <x:f>IF(D190=0,0,D190/MAX($D$6:$D$337))</x:f>
        <x:v>0.7533728536385936</x:v>
      </x:c>
      <x:c r="F190" s="26" t="n">
        <x:f>IF(B190=0,0,B190/MAX($B$6:$B$337))</x:f>
        <x:v>0.25</x:v>
      </x:c>
      <x:c r="G190" s="26" t="n">
        <x:f>'Resumen'!$B$9*E190+'Resumen'!$B$10*F190</x:f>
        <x:v>0.6023609975470154</x:v>
      </x:c>
      <x:c r="H190" s="8" t="n">
        <x:v>90829.20999999999</x:v>
      </x:c>
      <x:c r="I190" s="8" t="n">
        <x:v>75110.44</x:v>
      </x:c>
      <x:c r="J190" s="8" t="n">
        <x:f>MAX(H190-I190,0)</x:f>
        <x:v>15718.76999999999</x:v>
      </x:c>
      <x:c r="K190" s="8" t="n">
        <x:f>J190*G190</x:f>
        <x:v>9468.373977412093</x:v>
      </x:c>
      <x:c r="L190" s="8" t="n">
        <x:f>IFERROR('Resumen'!$B$14*K190/SUM($K$6:$K$337),0)</x:f>
        <x:v>6858.213440248924</x:v>
      </x:c>
      <x:c r="M190" s="8" t="n">
        <x:f>I190+L190</x:f>
        <x:v>81968.65344024892</x:v>
      </x:c>
      <x:c r="N190" s="8" t="n">
        <x:v>0</x:v>
      </x:c>
      <x:c r="O190" s="8" t="n">
        <x:f>N190*'Resumen'!$B$8</x:f>
        <x:v>0</x:v>
      </x:c>
      <x:c r="P190" s="8" t="n">
        <x:f>M190+O190</x:f>
        <x:v>81968.65344024892</x:v>
      </x:c>
      <x:c r="Q190" s="8" t="n">
        <x:f>P190-H190</x:f>
        <x:v>-8860.556559751072</x:v>
      </x:c>
      <x:c r="R190" s="8" t="n">
        <x:v>0</x:v>
      </x:c>
      <x:c r="S190" s="8" t="n">
        <x:f>R190*'Resumen'!$B$8</x:f>
        <x:v>0</x:v>
      </x:c>
      <x:c r="T190" s="8" t="n">
        <x:f>M190+S190</x:f>
        <x:v>81968.65344024892</x:v>
      </x:c>
      <x:c r="U190" s="8" t="n">
        <x:f>T190-H190</x:f>
        <x:v>-8860.556559751072</x:v>
      </x:c>
      <x:c r="V190" s="27" t="n">
        <x:v>0</x:v>
      </x:c>
    </x:row>
    <x:row r="191">
      <x:c r="A191" s="28" t="str">
        <x:v>735249</x:v>
      </x:c>
      <x:c r="B191" s="25" t="n">
        <x:v>10</x:v>
      </x:c>
      <x:c r="C191" s="25" t="n">
        <x:v>6618</x:v>
      </x:c>
      <x:c r="D191" s="25" t="n">
        <x:f>IF(B191=0,0,C191/B191)</x:f>
        <x:v>661.8</x:v>
      </x:c>
      <x:c r="E191" s="26" t="n">
        <x:f>IF(D191=0,0,D191/MAX($D$6:$D$337))</x:f>
        <x:v>0.47348732624693374</x:v>
      </x:c>
      <x:c r="F191" s="26" t="n">
        <x:f>IF(B191=0,0,B191/MAX($B$6:$B$337))</x:f>
        <x:v>0.35714285714285715</x:v>
      </x:c>
      <x:c r="G191" s="26" t="n">
        <x:f>'Resumen'!$B$9*E191+'Resumen'!$B$10*F191</x:f>
        <x:v>0.43858398551571076</x:v>
      </x:c>
      <x:c r="H191" s="8" t="n">
        <x:v>3403.98</x:v>
      </x:c>
      <x:c r="I191" s="8" t="n">
        <x:v>73648.73000000001</x:v>
      </x:c>
      <x:c r="J191" s="8" t="n">
        <x:f>MAX(H191-I191,0)</x:f>
        <x:v>0</x:v>
      </x:c>
      <x:c r="K191" s="8" t="n">
        <x:f>J191*G191</x:f>
        <x:v>0</x:v>
      </x:c>
      <x:c r="L191" s="8" t="n">
        <x:f>IFERROR('Resumen'!$B$14*K191/SUM($K$6:$K$337),0)</x:f>
        <x:v>0</x:v>
      </x:c>
      <x:c r="M191" s="8" t="n">
        <x:f>I191+L191</x:f>
        <x:v>73648.73000000001</x:v>
      </x:c>
      <x:c r="N191" s="8" t="n">
        <x:v>0</x:v>
      </x:c>
      <x:c r="O191" s="8" t="n">
        <x:f>N191*'Resumen'!$B$8</x:f>
        <x:v>0</x:v>
      </x:c>
      <x:c r="P191" s="8" t="n">
        <x:f>M191+O191</x:f>
        <x:v>73648.73000000001</x:v>
      </x:c>
      <x:c r="Q191" s="8" t="n">
        <x:f>P191-H191</x:f>
        <x:v>70244.75000000001</x:v>
      </x:c>
      <x:c r="R191" s="8" t="n">
        <x:v>0</x:v>
      </x:c>
      <x:c r="S191" s="8" t="n">
        <x:f>R191*'Resumen'!$B$8</x:f>
        <x:v>0</x:v>
      </x:c>
      <x:c r="T191" s="8" t="n">
        <x:f>M191+S191</x:f>
        <x:v>73648.73000000001</x:v>
      </x:c>
      <x:c r="U191" s="8" t="n">
        <x:f>T191-H191</x:f>
        <x:v>70244.75000000001</x:v>
      </x:c>
      <x:c r="V191" s="27" t="n">
        <x:v>0</x:v>
      </x:c>
    </x:row>
    <x:row r="192">
      <x:c r="A192" s="28" t="str">
        <x:v>85653</x:v>
      </x:c>
      <x:c r="B192" s="25" t="n">
        <x:v>9</x:v>
      </x:c>
      <x:c r="C192" s="25" t="n">
        <x:v>0</x:v>
      </x:c>
      <x:c r="D192" s="25" t="n">
        <x:f>IF(B192=0,0,C192/B192)</x:f>
        <x:v>0</x:v>
      </x:c>
      <x:c r="E192" s="26" t="n">
        <x:f>IF(D192=0,0,D192/MAX($D$6:$D$337))</x:f>
        <x:v>0</x:v>
      </x:c>
      <x:c r="F192" s="26" t="n">
        <x:f>IF(B192=0,0,B192/MAX($B$6:$B$337))</x:f>
        <x:v>0.32142857142857145</x:v>
      </x:c>
      <x:c r="G192" s="26" t="n">
        <x:f>'Resumen'!$B$9*E192+'Resumen'!$B$10*F192</x:f>
        <x:v>0.09642857142857143</x:v>
      </x:c>
      <x:c r="H192" s="8" t="n">
        <x:v>0</x:v>
      </x:c>
      <x:c r="I192" s="8" t="n">
        <x:v>0</x:v>
      </x:c>
      <x:c r="J192" s="8" t="n">
        <x:f>MAX(H192-I192,0)</x:f>
        <x:v>0</x:v>
      </x:c>
      <x:c r="K192" s="8" t="n">
        <x:f>J192*G192</x:f>
        <x:v>0</x:v>
      </x:c>
      <x:c r="L192" s="8" t="n">
        <x:f>IFERROR('Resumen'!$B$14*K192/SUM($K$6:$K$337),0)</x:f>
        <x:v>0</x:v>
      </x:c>
      <x:c r="M192" s="8" t="n">
        <x:f>I192+L192</x:f>
        <x:v>0</x:v>
      </x:c>
      <x:c r="N192" s="8" t="n">
        <x:v>0</x:v>
      </x:c>
      <x:c r="O192" s="8" t="n">
        <x:f>N192*'Resumen'!$B$8</x:f>
        <x:v>0</x:v>
      </x:c>
      <x:c r="P192" s="8" t="n">
        <x:f>M192+O192</x:f>
        <x:v>0</x:v>
      </x:c>
      <x:c r="Q192" s="8" t="n">
        <x:f>P192-H192</x:f>
        <x:v>0</x:v>
      </x:c>
      <x:c r="R192" s="8" t="n">
        <x:v>0</x:v>
      </x:c>
      <x:c r="S192" s="8" t="n">
        <x:f>R192*'Resumen'!$B$8</x:f>
        <x:v>0</x:v>
      </x:c>
      <x:c r="T192" s="8" t="n">
        <x:f>M192+S192</x:f>
        <x:v>0</x:v>
      </x:c>
      <x:c r="U192" s="8" t="n">
        <x:f>T192-H192</x:f>
        <x:v>0</x:v>
      </x:c>
      <x:c r="V192" s="27" t="n">
        <x:v>0</x:v>
      </x:c>
    </x:row>
    <x:row r="193">
      <x:c r="A193" s="28" t="str">
        <x:v>89964</x:v>
      </x:c>
      <x:c r="B193" s="25" t="n">
        <x:v>21</x:v>
      </x:c>
      <x:c r="C193" s="25" t="n">
        <x:v>8945</x:v>
      </x:c>
      <x:c r="D193" s="25" t="n">
        <x:f>IF(B193=0,0,C193/B193)</x:f>
        <x:v>425.95238095238096</x:v>
      </x:c>
      <x:c r="E193" s="26" t="n">
        <x:f>IF(D193=0,0,D193/MAX($D$6:$D$337))</x:f>
        <x:v>0.3047492504769692</x:v>
      </x:c>
      <x:c r="F193" s="26" t="n">
        <x:f>IF(B193=0,0,B193/MAX($B$6:$B$337))</x:f>
        <x:v>0.75</x:v>
      </x:c>
      <x:c r="G193" s="26" t="n">
        <x:f>'Resumen'!$B$9*E193+'Resumen'!$B$10*F193</x:f>
        <x:v>0.4383244753338784</x:v>
      </x:c>
      <x:c r="H193" s="8" t="n">
        <x:v>92752.1</x:v>
      </x:c>
      <x:c r="I193" s="8" t="n">
        <x:v>106491.38</x:v>
      </x:c>
      <x:c r="J193" s="8" t="n">
        <x:f>MAX(H193-I193,0)</x:f>
        <x:v>0</x:v>
      </x:c>
      <x:c r="K193" s="8" t="n">
        <x:f>J193*G193</x:f>
        <x:v>0</x:v>
      </x:c>
      <x:c r="L193" s="8" t="n">
        <x:f>IFERROR('Resumen'!$B$14*K193/SUM($K$6:$K$337),0)</x:f>
        <x:v>0</x:v>
      </x:c>
      <x:c r="M193" s="8" t="n">
        <x:f>I193+L193</x:f>
        <x:v>106491.38</x:v>
      </x:c>
      <x:c r="N193" s="8" t="n">
        <x:v>0</x:v>
      </x:c>
      <x:c r="O193" s="8" t="n">
        <x:f>N193*'Resumen'!$B$8</x:f>
        <x:v>0</x:v>
      </x:c>
      <x:c r="P193" s="8" t="n">
        <x:f>M193+O193</x:f>
        <x:v>106491.38</x:v>
      </x:c>
      <x:c r="Q193" s="8" t="n">
        <x:f>P193-H193</x:f>
        <x:v>13739.279999999999</x:v>
      </x:c>
      <x:c r="R193" s="8" t="n">
        <x:v>0</x:v>
      </x:c>
      <x:c r="S193" s="8" t="n">
        <x:f>R193*'Resumen'!$B$8</x:f>
        <x:v>0</x:v>
      </x:c>
      <x:c r="T193" s="8" t="n">
        <x:f>M193+S193</x:f>
        <x:v>106491.38</x:v>
      </x:c>
      <x:c r="U193" s="8" t="n">
        <x:f>T193-H193</x:f>
        <x:v>13739.279999999999</x:v>
      </x:c>
      <x:c r="V193" s="27" t="n">
        <x:v>0</x:v>
      </x:c>
    </x:row>
    <x:row r="194">
      <x:c r="A194" s="28" t="str">
        <x:v>116693</x:v>
      </x:c>
      <x:c r="B194" s="25" t="n">
        <x:v>13</x:v>
      </x:c>
      <x:c r="C194" s="25" t="n">
        <x:v>0</x:v>
      </x:c>
      <x:c r="D194" s="25" t="n">
        <x:f>IF(B194=0,0,C194/B194)</x:f>
        <x:v>0</x:v>
      </x:c>
      <x:c r="E194" s="26" t="n">
        <x:f>IF(D194=0,0,D194/MAX($D$6:$D$337))</x:f>
        <x:v>0</x:v>
      </x:c>
      <x:c r="F194" s="26" t="n">
        <x:f>IF(B194=0,0,B194/MAX($B$6:$B$337))</x:f>
        <x:v>0.4642857142857143</x:v>
      </x:c>
      <x:c r="G194" s="26" t="n">
        <x:f>'Resumen'!$B$9*E194+'Resumen'!$B$10*F194</x:f>
        <x:v>0.1392857142857143</x:v>
      </x:c>
      <x:c r="H194" s="8" t="n">
        <x:v>0</x:v>
      </x:c>
      <x:c r="I194" s="8" t="n">
        <x:v>0</x:v>
      </x:c>
      <x:c r="J194" s="8" t="n">
        <x:f>MAX(H194-I194,0)</x:f>
        <x:v>0</x:v>
      </x:c>
      <x:c r="K194" s="8" t="n">
        <x:f>J194*G194</x:f>
        <x:v>0</x:v>
      </x:c>
      <x:c r="L194" s="8" t="n">
        <x:f>IFERROR('Resumen'!$B$14*K194/SUM($K$6:$K$337),0)</x:f>
        <x:v>0</x:v>
      </x:c>
      <x:c r="M194" s="8" t="n">
        <x:f>I194+L194</x:f>
        <x:v>0</x:v>
      </x:c>
      <x:c r="N194" s="8" t="n">
        <x:v>0</x:v>
      </x:c>
      <x:c r="O194" s="8" t="n">
        <x:f>N194*'Resumen'!$B$8</x:f>
        <x:v>0</x:v>
      </x:c>
      <x:c r="P194" s="8" t="n">
        <x:f>M194+O194</x:f>
        <x:v>0</x:v>
      </x:c>
      <x:c r="Q194" s="8" t="n">
        <x:f>P194-H194</x:f>
        <x:v>0</x:v>
      </x:c>
      <x:c r="R194" s="8" t="n">
        <x:v>0</x:v>
      </x:c>
      <x:c r="S194" s="8" t="n">
        <x:f>R194*'Resumen'!$B$8</x:f>
        <x:v>0</x:v>
      </x:c>
      <x:c r="T194" s="8" t="n">
        <x:f>M194+S194</x:f>
        <x:v>0</x:v>
      </x:c>
      <x:c r="U194" s="8" t="n">
        <x:f>T194-H194</x:f>
        <x:v>0</x:v>
      </x:c>
      <x:c r="V194" s="27" t="n">
        <x:v>0</x:v>
      </x:c>
    </x:row>
    <x:row r="195">
      <x:c r="A195" s="28" t="str">
        <x:v>121553</x:v>
      </x:c>
      <x:c r="B195" s="25" t="n">
        <x:v>13</x:v>
      </x:c>
      <x:c r="C195" s="25" t="n">
        <x:v>0</x:v>
      </x:c>
      <x:c r="D195" s="25" t="n">
        <x:f>IF(B195=0,0,C195/B195)</x:f>
        <x:v>0</x:v>
      </x:c>
      <x:c r="E195" s="26" t="n">
        <x:f>IF(D195=0,0,D195/MAX($D$6:$D$337))</x:f>
        <x:v>0</x:v>
      </x:c>
      <x:c r="F195" s="26" t="n">
        <x:f>IF(B195=0,0,B195/MAX($B$6:$B$337))</x:f>
        <x:v>0.4642857142857143</x:v>
      </x:c>
      <x:c r="G195" s="26" t="n">
        <x:f>'Resumen'!$B$9*E195+'Resumen'!$B$10*F195</x:f>
        <x:v>0.1392857142857143</x:v>
      </x:c>
      <x:c r="H195" s="8" t="n">
        <x:v>0</x:v>
      </x:c>
      <x:c r="I195" s="8" t="n">
        <x:v>0</x:v>
      </x:c>
      <x:c r="J195" s="8" t="n">
        <x:f>MAX(H195-I195,0)</x:f>
        <x:v>0</x:v>
      </x:c>
      <x:c r="K195" s="8" t="n">
        <x:f>J195*G195</x:f>
        <x:v>0</x:v>
      </x:c>
      <x:c r="L195" s="8" t="n">
        <x:f>IFERROR('Resumen'!$B$14*K195/SUM($K$6:$K$337),0)</x:f>
        <x:v>0</x:v>
      </x:c>
      <x:c r="M195" s="8" t="n">
        <x:f>I195+L195</x:f>
        <x:v>0</x:v>
      </x:c>
      <x:c r="N195" s="8" t="n">
        <x:v>0</x:v>
      </x:c>
      <x:c r="O195" s="8" t="n">
        <x:f>N195*'Resumen'!$B$8</x:f>
        <x:v>0</x:v>
      </x:c>
      <x:c r="P195" s="8" t="n">
        <x:f>M195+O195</x:f>
        <x:v>0</x:v>
      </x:c>
      <x:c r="Q195" s="8" t="n">
        <x:f>P195-H195</x:f>
        <x:v>0</x:v>
      </x:c>
      <x:c r="R195" s="8" t="n">
        <x:v>0</x:v>
      </x:c>
      <x:c r="S195" s="8" t="n">
        <x:f>R195*'Resumen'!$B$8</x:f>
        <x:v>0</x:v>
      </x:c>
      <x:c r="T195" s="8" t="n">
        <x:f>M195+S195</x:f>
        <x:v>0</x:v>
      </x:c>
      <x:c r="U195" s="8" t="n">
        <x:f>T195-H195</x:f>
        <x:v>0</x:v>
      </x:c>
      <x:c r="V195" s="27" t="n">
        <x:v>0</x:v>
      </x:c>
    </x:row>
    <x:row r="196">
      <x:c r="A196" s="28" t="str">
        <x:v>198105</x:v>
      </x:c>
      <x:c r="B196" s="25" t="n">
        <x:v>7</x:v>
      </x:c>
      <x:c r="C196" s="25" t="n">
        <x:v>3870</x:v>
      </x:c>
      <x:c r="D196" s="25" t="n">
        <x:f>IF(B196=0,0,C196/B196)</x:f>
        <x:v>552.8571428571429</x:v>
      </x:c>
      <x:c r="E196" s="26" t="n">
        <x:f>IF(D196=0,0,D196/MAX($D$6:$D$337))</x:f>
        <x:v>0.3955437448896157</x:v>
      </x:c>
      <x:c r="F196" s="26" t="n">
        <x:f>IF(B196=0,0,B196/MAX($B$6:$B$337))</x:f>
        <x:v>0.25</x:v>
      </x:c>
      <x:c r="G196" s="26" t="n">
        <x:f>'Resumen'!$B$9*E196+'Resumen'!$B$10*F196</x:f>
        <x:v>0.35188062142273097</x:v>
      </x:c>
      <x:c r="H196" s="8" t="n">
        <x:v>4811.52</x:v>
      </x:c>
      <x:c r="I196" s="8" t="n">
        <x:v>34607.94</x:v>
      </x:c>
      <x:c r="J196" s="8" t="n">
        <x:f>MAX(H196-I196,0)</x:f>
        <x:v>0</x:v>
      </x:c>
      <x:c r="K196" s="8" t="n">
        <x:f>J196*G196</x:f>
        <x:v>0</x:v>
      </x:c>
      <x:c r="L196" s="8" t="n">
        <x:f>IFERROR('Resumen'!$B$14*K196/SUM($K$6:$K$337),0)</x:f>
        <x:v>0</x:v>
      </x:c>
      <x:c r="M196" s="8" t="n">
        <x:f>I196+L196</x:f>
        <x:v>34607.94</x:v>
      </x:c>
      <x:c r="N196" s="8" t="n">
        <x:v>0</x:v>
      </x:c>
      <x:c r="O196" s="8" t="n">
        <x:f>N196*'Resumen'!$B$8</x:f>
        <x:v>0</x:v>
      </x:c>
      <x:c r="P196" s="8" t="n">
        <x:f>M196+O196</x:f>
        <x:v>34607.94</x:v>
      </x:c>
      <x:c r="Q196" s="8" t="n">
        <x:f>P196-H196</x:f>
        <x:v>29796.420000000002</x:v>
      </x:c>
      <x:c r="R196" s="8" t="n">
        <x:v>0</x:v>
      </x:c>
      <x:c r="S196" s="8" t="n">
        <x:f>R196*'Resumen'!$B$8</x:f>
        <x:v>0</x:v>
      </x:c>
      <x:c r="T196" s="8" t="n">
        <x:f>M196+S196</x:f>
        <x:v>34607.94</x:v>
      </x:c>
      <x:c r="U196" s="8" t="n">
        <x:f>T196-H196</x:f>
        <x:v>29796.420000000002</x:v>
      </x:c>
      <x:c r="V196" s="27" t="n">
        <x:v>0</x:v>
      </x:c>
    </x:row>
    <x:row r="197">
      <x:c r="A197" s="28" t="str">
        <x:v>198634</x:v>
      </x:c>
      <x:c r="B197" s="25" t="n">
        <x:v>8</x:v>
      </x:c>
      <x:c r="C197" s="25" t="n">
        <x:v>2950</x:v>
      </x:c>
      <x:c r="D197" s="25" t="n">
        <x:f>IF(B197=0,0,C197/B197)</x:f>
        <x:v>368.75</x:v>
      </x:c>
      <x:c r="E197" s="26" t="n">
        <x:f>IF(D197=0,0,D197/MAX($D$6:$D$337))</x:f>
        <x:v>0.2638235895339329</x:v>
      </x:c>
      <x:c r="F197" s="26" t="n">
        <x:f>IF(B197=0,0,B197/MAX($B$6:$B$337))</x:f>
        <x:v>0.2857142857142857</x:v>
      </x:c>
      <x:c r="G197" s="26" t="n">
        <x:f>'Resumen'!$B$9*E197+'Resumen'!$B$10*F197</x:f>
        <x:v>0.27039079838803876</x:v>
      </x:c>
      <x:c r="H197" s="8" t="n">
        <x:v>0</x:v>
      </x:c>
      <x:c r="I197" s="8" t="n">
        <x:v>24255.32</x:v>
      </x:c>
      <x:c r="J197" s="8" t="n">
        <x:f>MAX(H197-I197,0)</x:f>
        <x:v>0</x:v>
      </x:c>
      <x:c r="K197" s="8" t="n">
        <x:f>J197*G197</x:f>
        <x:v>0</x:v>
      </x:c>
      <x:c r="L197" s="8" t="n">
        <x:f>IFERROR('Resumen'!$B$14*K197/SUM($K$6:$K$337),0)</x:f>
        <x:v>0</x:v>
      </x:c>
      <x:c r="M197" s="8" t="n">
        <x:f>I197+L197</x:f>
        <x:v>24255.32</x:v>
      </x:c>
      <x:c r="N197" s="8" t="n">
        <x:v>0</x:v>
      </x:c>
      <x:c r="O197" s="8" t="n">
        <x:f>N197*'Resumen'!$B$8</x:f>
        <x:v>0</x:v>
      </x:c>
      <x:c r="P197" s="8" t="n">
        <x:f>M197+O197</x:f>
        <x:v>24255.32</x:v>
      </x:c>
      <x:c r="Q197" s="8" t="n">
        <x:f>P197-H197</x:f>
        <x:v>24255.32</x:v>
      </x:c>
      <x:c r="R197" s="8" t="n">
        <x:v>0</x:v>
      </x:c>
      <x:c r="S197" s="8" t="n">
        <x:f>R197*'Resumen'!$B$8</x:f>
        <x:v>0</x:v>
      </x:c>
      <x:c r="T197" s="8" t="n">
        <x:f>M197+S197</x:f>
        <x:v>24255.32</x:v>
      </x:c>
      <x:c r="U197" s="8" t="n">
        <x:f>T197-H197</x:f>
        <x:v>24255.32</x:v>
      </x:c>
      <x:c r="V197" s="27" t="n">
        <x:v>0</x:v>
      </x:c>
    </x:row>
    <x:row r="198">
      <x:c r="A198" s="28" t="str">
        <x:v>203612</x:v>
      </x:c>
      <x:c r="B198" s="25" t="n">
        <x:v>22</x:v>
      </x:c>
      <x:c r="C198" s="25" t="n">
        <x:v>18515</x:v>
      </x:c>
      <x:c r="D198" s="25" t="n">
        <x:f>IF(B198=0,0,C198/B198)</x:f>
        <x:v>841.5909090909091</x:v>
      </x:c>
      <x:c r="E198" s="26" t="n">
        <x:f>IF(D198=0,0,D198/MAX($D$6:$D$337))</x:f>
        <x:v>0.6021194157437003</x:v>
      </x:c>
      <x:c r="F198" s="26" t="n">
        <x:f>IF(B198=0,0,B198/MAX($B$6:$B$337))</x:f>
        <x:v>0.7857142857142857</x:v>
      </x:c>
      <x:c r="G198" s="26" t="n">
        <x:f>'Resumen'!$B$9*E198+'Resumen'!$B$10*F198</x:f>
        <x:v>0.6571978767348758</x:v>
      </x:c>
      <x:c r="H198" s="8" t="n">
        <x:v>197359.65</x:v>
      </x:c>
      <x:c r="I198" s="8" t="n">
        <x:v>197801.21</x:v>
      </x:c>
      <x:c r="J198" s="8" t="n">
        <x:f>MAX(H198-I198,0)</x:f>
        <x:v>0</x:v>
      </x:c>
      <x:c r="K198" s="8" t="n">
        <x:f>J198*G198</x:f>
        <x:v>0</x:v>
      </x:c>
      <x:c r="L198" s="8" t="n">
        <x:f>IFERROR('Resumen'!$B$14*K198/SUM($K$6:$K$337),0)</x:f>
        <x:v>0</x:v>
      </x:c>
      <x:c r="M198" s="8" t="n">
        <x:f>I198+L198</x:f>
        <x:v>197801.21</x:v>
      </x:c>
      <x:c r="N198" s="8" t="n">
        <x:v>465043.14999999997</x:v>
      </x:c>
      <x:c r="O198" s="8" t="n">
        <x:f>N198*'Resumen'!$B$8</x:f>
        <x:v>139512.94499999998</x:v>
      </x:c>
      <x:c r="P198" s="8" t="n">
        <x:f>M198+O198</x:f>
        <x:v>337314.15499999997</x:v>
      </x:c>
      <x:c r="Q198" s="8" t="n">
        <x:f>P198-H198</x:f>
        <x:v>139954.50499999998</x:v>
      </x:c>
      <x:c r="R198" s="8" t="n">
        <x:v>526450.83</x:v>
      </x:c>
      <x:c r="S198" s="8" t="n">
        <x:f>R198*'Resumen'!$B$8</x:f>
        <x:v>157935.24899999998</x:v>
      </x:c>
      <x:c r="T198" s="8" t="n">
        <x:f>M198+S198</x:f>
        <x:v>355736.459</x:v>
      </x:c>
      <x:c r="U198" s="8" t="n">
        <x:f>T198-H198</x:f>
        <x:v>158376.80899999998</x:v>
      </x:c>
      <x:c r="V198" s="27" t="n">
        <x:v>16</x:v>
      </x:c>
    </x:row>
    <x:row r="199">
      <x:c r="A199" s="28" t="str">
        <x:v>206118</x:v>
      </x:c>
      <x:c r="B199" s="25" t="n">
        <x:v>21</x:v>
      </x:c>
      <x:c r="C199" s="25" t="n">
        <x:v>14495</x:v>
      </x:c>
      <x:c r="D199" s="25" t="n">
        <x:f>IF(B199=0,0,C199/B199)</x:f>
        <x:v>690.2380952380952</x:v>
      </x:c>
      <x:c r="E199" s="26" t="n">
        <x:f>IF(D199=0,0,D199/MAX($D$6:$D$337))</x:f>
        <x:v>0.493833469610248</x:v>
      </x:c>
      <x:c r="F199" s="26" t="n">
        <x:f>IF(B199=0,0,B199/MAX($B$6:$B$337))</x:f>
        <x:v>0.75</x:v>
      </x:c>
      <x:c r="G199" s="26" t="n">
        <x:f>'Resumen'!$B$9*E199+'Resumen'!$B$10*F199</x:f>
        <x:v>0.5706834287271736</x:v>
      </x:c>
      <x:c r="H199" s="8" t="n">
        <x:v>208856.87</x:v>
      </x:c>
      <x:c r="I199" s="8" t="n">
        <x:v>98639.57</x:v>
      </x:c>
      <x:c r="J199" s="8" t="n">
        <x:f>MAX(H199-I199,0)</x:f>
        <x:v>110217.29999999999</x:v>
      </x:c>
      <x:c r="K199" s="8" t="n">
        <x:f>J199*G199</x:f>
        <x:v>62899.1866690515</x:v>
      </x:c>
      <x:c r="L199" s="8" t="n">
        <x:f>IFERROR('Resumen'!$B$14*K199/SUM($K$6:$K$337),0)</x:f>
        <x:v>45559.675655346175</x:v>
      </x:c>
      <x:c r="M199" s="8" t="n">
        <x:f>I199+L199</x:f>
        <x:v>144199.2456553462</x:v>
      </x:c>
      <x:c r="N199" s="8" t="n">
        <x:v>0</x:v>
      </x:c>
      <x:c r="O199" s="8" t="n">
        <x:f>N199*'Resumen'!$B$8</x:f>
        <x:v>0</x:v>
      </x:c>
      <x:c r="P199" s="8" t="n">
        <x:f>M199+O199</x:f>
        <x:v>144199.2456553462</x:v>
      </x:c>
      <x:c r="Q199" s="8" t="n">
        <x:f>P199-H199</x:f>
        <x:v>-64657.6243446538</x:v>
      </x:c>
      <x:c r="R199" s="8" t="n">
        <x:v>0</x:v>
      </x:c>
      <x:c r="S199" s="8" t="n">
        <x:f>R199*'Resumen'!$B$8</x:f>
        <x:v>0</x:v>
      </x:c>
      <x:c r="T199" s="8" t="n">
        <x:f>M199+S199</x:f>
        <x:v>144199.2456553462</x:v>
      </x:c>
      <x:c r="U199" s="8" t="n">
        <x:f>T199-H199</x:f>
        <x:v>-64657.6243446538</x:v>
      </x:c>
      <x:c r="V199" s="27" t="n">
        <x:v>0</x:v>
      </x:c>
    </x:row>
    <x:row r="200">
      <x:c r="A200" s="28" t="str">
        <x:v>206120</x:v>
      </x:c>
      <x:c r="B200" s="25" t="n">
        <x:v>23</x:v>
      </x:c>
      <x:c r="C200" s="25" t="n">
        <x:v>15100</x:v>
      </x:c>
      <x:c r="D200" s="25" t="n">
        <x:f>IF(B200=0,0,C200/B200)</x:f>
        <x:v>656.5217391304348</x:v>
      </x:c>
      <x:c r="E200" s="26" t="n">
        <x:f>IF(D200=0,0,D200/MAX($D$6:$D$337))</x:f>
        <x:v>0.46971097443919085</x:v>
      </x:c>
      <x:c r="F200" s="26" t="n">
        <x:f>IF(B200=0,0,B200/MAX($B$6:$B$337))</x:f>
        <x:v>0.8214285714285714</x:v>
      </x:c>
      <x:c r="G200" s="26" t="n">
        <x:f>'Resumen'!$B$9*E200+'Resumen'!$B$10*F200</x:f>
        <x:v>0.575226253536005</x:v>
      </x:c>
      <x:c r="H200" s="8" t="n">
        <x:v>230440.49</x:v>
      </x:c>
      <x:c r="I200" s="8" t="n">
        <x:v>117495.09</x:v>
      </x:c>
      <x:c r="J200" s="8" t="n">
        <x:f>MAX(H200-I200,0)</x:f>
        <x:v>112945.4</x:v>
      </x:c>
      <x:c r="K200" s="8" t="n">
        <x:f>J200*G200</x:f>
        <x:v>64969.159296125494</x:v>
      </x:c>
      <x:c r="L200" s="8" t="n">
        <x:f>IFERROR('Resumen'!$B$14*K200/SUM($K$6:$K$337),0)</x:f>
        <x:v>47059.01589325959</x:v>
      </x:c>
      <x:c r="M200" s="8" t="n">
        <x:f>I200+L200</x:f>
        <x:v>164554.10589325958</x:v>
      </x:c>
      <x:c r="N200" s="8" t="n">
        <x:v>0</x:v>
      </x:c>
      <x:c r="O200" s="8" t="n">
        <x:f>N200*'Resumen'!$B$8</x:f>
        <x:v>0</x:v>
      </x:c>
      <x:c r="P200" s="8" t="n">
        <x:f>M200+O200</x:f>
        <x:v>164554.10589325958</x:v>
      </x:c>
      <x:c r="Q200" s="8" t="n">
        <x:f>P200-H200</x:f>
        <x:v>-65886.38410674041</x:v>
      </x:c>
      <x:c r="R200" s="8" t="n">
        <x:v>0</x:v>
      </x:c>
      <x:c r="S200" s="8" t="n">
        <x:f>R200*'Resumen'!$B$8</x:f>
        <x:v>0</x:v>
      </x:c>
      <x:c r="T200" s="8" t="n">
        <x:f>M200+S200</x:f>
        <x:v>164554.10589325958</x:v>
      </x:c>
      <x:c r="U200" s="8" t="n">
        <x:f>T200-H200</x:f>
        <x:v>-65886.38410674041</x:v>
      </x:c>
      <x:c r="V200" s="27" t="n">
        <x:v>0</x:v>
      </x:c>
    </x:row>
    <x:row r="201">
      <x:c r="A201" s="28" t="str">
        <x:v>207479</x:v>
      </x:c>
      <x:c r="B201" s="25" t="n">
        <x:v>23</x:v>
      </x:c>
      <x:c r="C201" s="25" t="n">
        <x:v>19309</x:v>
      </x:c>
      <x:c r="D201" s="25" t="n">
        <x:f>IF(B201=0,0,C201/B201)</x:f>
        <x:v>839.5217391304348</x:v>
      </x:c>
      <x:c r="E201" s="26" t="n">
        <x:f>IF(D201=0,0,D201/MAX($D$6:$D$337))</x:f>
        <x:v>0.6006390202282341</x:v>
      </x:c>
      <x:c r="F201" s="26" t="n">
        <x:f>IF(B201=0,0,B201/MAX($B$6:$B$337))</x:f>
        <x:v>0.8214285714285714</x:v>
      </x:c>
      <x:c r="G201" s="26" t="n">
        <x:f>'Resumen'!$B$9*E201+'Resumen'!$B$10*F201</x:f>
        <x:v>0.6668758855883353</x:v>
      </x:c>
      <x:c r="H201" s="8" t="n">
        <x:v>187426.20999999996</x:v>
      </x:c>
      <x:c r="I201" s="8" t="n">
        <x:v>141606.83999999997</x:v>
      </x:c>
      <x:c r="J201" s="8" t="n">
        <x:f>MAX(H201-I201,0)</x:f>
        <x:v>45819.369999999995</x:v>
      </x:c>
      <x:c r="K201" s="8" t="n">
        <x:f>J201*G201</x:f>
        <x:v>30555.8329458496</x:v>
      </x:c>
      <x:c r="L201" s="8" t="n">
        <x:f>IFERROR('Resumen'!$B$14*K201/SUM($K$6:$K$337),0)</x:f>
        <x:v>22132.46167580121</x:v>
      </x:c>
      <x:c r="M201" s="8" t="n">
        <x:f>I201+L201</x:f>
        <x:v>163739.30167580117</x:v>
      </x:c>
      <x:c r="N201" s="8" t="n">
        <x:v>0</x:v>
      </x:c>
      <x:c r="O201" s="8" t="n">
        <x:f>N201*'Resumen'!$B$8</x:f>
        <x:v>0</x:v>
      </x:c>
      <x:c r="P201" s="8" t="n">
        <x:f>M201+O201</x:f>
        <x:v>163739.30167580117</x:v>
      </x:c>
      <x:c r="Q201" s="8" t="n">
        <x:f>P201-H201</x:f>
        <x:v>-23686.908324198797</x:v>
      </x:c>
      <x:c r="R201" s="8" t="n">
        <x:v>0</x:v>
      </x:c>
      <x:c r="S201" s="8" t="n">
        <x:f>R201*'Resumen'!$B$8</x:f>
        <x:v>0</x:v>
      </x:c>
      <x:c r="T201" s="8" t="n">
        <x:f>M201+S201</x:f>
        <x:v>163739.30167580117</x:v>
      </x:c>
      <x:c r="U201" s="8" t="n">
        <x:f>T201-H201</x:f>
        <x:v>-23686.908324198797</x:v>
      </x:c>
      <x:c r="V201" s="27" t="n">
        <x:v>0</x:v>
      </x:c>
    </x:row>
    <x:row r="202">
      <x:c r="A202" s="28" t="str">
        <x:v>65607</x:v>
      </x:c>
      <x:c r="B202" s="25" t="n">
        <x:v>14</x:v>
      </x:c>
      <x:c r="C202" s="25" t="n">
        <x:v>0</x:v>
      </x:c>
      <x:c r="D202" s="25" t="n">
        <x:f>IF(B202=0,0,C202/B202)</x:f>
        <x:v>0</x:v>
      </x:c>
      <x:c r="E202" s="26" t="n">
        <x:f>IF(D202=0,0,D202/MAX($D$6:$D$337))</x:f>
        <x:v>0</x:v>
      </x:c>
      <x:c r="F202" s="26" t="n">
        <x:f>IF(B202=0,0,B202/MAX($B$6:$B$337))</x:f>
        <x:v>0.5</x:v>
      </x:c>
      <x:c r="G202" s="26" t="n">
        <x:f>'Resumen'!$B$9*E202+'Resumen'!$B$10*F202</x:f>
        <x:v>0.15</x:v>
      </x:c>
      <x:c r="H202" s="8" t="n">
        <x:v>0</x:v>
      </x:c>
      <x:c r="I202" s="8" t="n">
        <x:v>0</x:v>
      </x:c>
      <x:c r="J202" s="8" t="n">
        <x:f>MAX(H202-I202,0)</x:f>
        <x:v>0</x:v>
      </x:c>
      <x:c r="K202" s="8" t="n">
        <x:f>J202*G202</x:f>
        <x:v>0</x:v>
      </x:c>
      <x:c r="L202" s="8" t="n">
        <x:f>IFERROR('Resumen'!$B$14*K202/SUM($K$6:$K$337),0)</x:f>
        <x:v>0</x:v>
      </x:c>
      <x:c r="M202" s="8" t="n">
        <x:f>I202+L202</x:f>
        <x:v>0</x:v>
      </x:c>
      <x:c r="N202" s="8" t="n">
        <x:v>0</x:v>
      </x:c>
      <x:c r="O202" s="8" t="n">
        <x:f>N202*'Resumen'!$B$8</x:f>
        <x:v>0</x:v>
      </x:c>
      <x:c r="P202" s="8" t="n">
        <x:f>M202+O202</x:f>
        <x:v>0</x:v>
      </x:c>
      <x:c r="Q202" s="8" t="n">
        <x:f>P202-H202</x:f>
        <x:v>0</x:v>
      </x:c>
      <x:c r="R202" s="8" t="n">
        <x:v>0</x:v>
      </x:c>
      <x:c r="S202" s="8" t="n">
        <x:f>R202*'Resumen'!$B$8</x:f>
        <x:v>0</x:v>
      </x:c>
      <x:c r="T202" s="8" t="n">
        <x:f>M202+S202</x:f>
        <x:v>0</x:v>
      </x:c>
      <x:c r="U202" s="8" t="n">
        <x:f>T202-H202</x:f>
        <x:v>0</x:v>
      </x:c>
      <x:c r="V202" s="27" t="n">
        <x:v>0</x:v>
      </x:c>
    </x:row>
    <x:row r="203">
      <x:c r="A203" s="28" t="str">
        <x:v>735194</x:v>
      </x:c>
      <x:c r="B203" s="25" t="n">
        <x:v>8</x:v>
      </x:c>
      <x:c r="C203" s="25" t="n">
        <x:v>6786</x:v>
      </x:c>
      <x:c r="D203" s="25" t="n">
        <x:f>IF(B203=0,0,C203/B203)</x:f>
        <x:v>848.25</x:v>
      </x:c>
      <x:c r="E203" s="26" t="n">
        <x:f>IF(D203=0,0,D203/MAX($D$6:$D$337))</x:f>
        <x:v>0.6068836876533115</x:v>
      </x:c>
      <x:c r="F203" s="26" t="n">
        <x:f>IF(B203=0,0,B203/MAX($B$6:$B$337))</x:f>
        <x:v>0.2857142857142857</x:v>
      </x:c>
      <x:c r="G203" s="26" t="n">
        <x:f>'Resumen'!$B$9*E203+'Resumen'!$B$10*F203</x:f>
        <x:v>0.5105328670716037</x:v>
      </x:c>
      <x:c r="H203" s="8" t="n">
        <x:v>32309.250000000004</x:v>
      </x:c>
      <x:c r="I203" s="8" t="n">
        <x:v>60410.259999999995</x:v>
      </x:c>
      <x:c r="J203" s="8" t="n">
        <x:f>MAX(H203-I203,0)</x:f>
        <x:v>0</x:v>
      </x:c>
      <x:c r="K203" s="8" t="n">
        <x:f>J203*G203</x:f>
        <x:v>0</x:v>
      </x:c>
      <x:c r="L203" s="8" t="n">
        <x:f>IFERROR('Resumen'!$B$14*K203/SUM($K$6:$K$337),0)</x:f>
        <x:v>0</x:v>
      </x:c>
      <x:c r="M203" s="8" t="n">
        <x:f>I203+L203</x:f>
        <x:v>60410.259999999995</x:v>
      </x:c>
      <x:c r="N203" s="8" t="n">
        <x:v>0</x:v>
      </x:c>
      <x:c r="O203" s="8" t="n">
        <x:f>N203*'Resumen'!$B$8</x:f>
        <x:v>0</x:v>
      </x:c>
      <x:c r="P203" s="8" t="n">
        <x:f>M203+O203</x:f>
        <x:v>60410.259999999995</x:v>
      </x:c>
      <x:c r="Q203" s="8" t="n">
        <x:f>P203-H203</x:f>
        <x:v>28101.00999999999</x:v>
      </x:c>
      <x:c r="R203" s="8" t="n">
        <x:v>0</x:v>
      </x:c>
      <x:c r="S203" s="8" t="n">
        <x:f>R203*'Resumen'!$B$8</x:f>
        <x:v>0</x:v>
      </x:c>
      <x:c r="T203" s="8" t="n">
        <x:f>M203+S203</x:f>
        <x:v>60410.259999999995</x:v>
      </x:c>
      <x:c r="U203" s="8" t="n">
        <x:f>T203-H203</x:f>
        <x:v>28101.00999999999</x:v>
      </x:c>
      <x:c r="V203" s="27" t="n">
        <x:v>0</x:v>
      </x:c>
    </x:row>
    <x:row r="204">
      <x:c r="A204" s="28" t="str">
        <x:v>735199</x:v>
      </x:c>
      <x:c r="B204" s="25" t="n">
        <x:v>4</x:v>
      </x:c>
      <x:c r="C204" s="25" t="n">
        <x:v>1792</x:v>
      </x:c>
      <x:c r="D204" s="25" t="n">
        <x:f>IF(B204=0,0,C204/B204)</x:f>
        <x:v>448</x:v>
      </x:c>
      <x:c r="E204" s="26" t="n">
        <x:f>IF(D204=0,0,D204/MAX($D$6:$D$337))</x:f>
        <x:v>0.3205233033524121</x:v>
      </x:c>
      <x:c r="F204" s="26" t="n">
        <x:f>IF(B204=0,0,B204/MAX($B$6:$B$337))</x:f>
        <x:v>0.14285714285714285</x:v>
      </x:c>
      <x:c r="G204" s="26" t="n">
        <x:f>'Resumen'!$B$9*E204+'Resumen'!$B$10*F204</x:f>
        <x:v>0.2672234552038313</x:v>
      </x:c>
      <x:c r="H204" s="8" t="n">
        <x:v>0</x:v>
      </x:c>
      <x:c r="I204" s="8" t="n">
        <x:v>8586.72</x:v>
      </x:c>
      <x:c r="J204" s="8" t="n">
        <x:f>MAX(H204-I204,0)</x:f>
        <x:v>0</x:v>
      </x:c>
      <x:c r="K204" s="8" t="n">
        <x:f>J204*G204</x:f>
        <x:v>0</x:v>
      </x:c>
      <x:c r="L204" s="8" t="n">
        <x:f>IFERROR('Resumen'!$B$14*K204/SUM($K$6:$K$337),0)</x:f>
        <x:v>0</x:v>
      </x:c>
      <x:c r="M204" s="8" t="n">
        <x:f>I204+L204</x:f>
        <x:v>8586.72</x:v>
      </x:c>
      <x:c r="N204" s="8" t="n">
        <x:v>0</x:v>
      </x:c>
      <x:c r="O204" s="8" t="n">
        <x:f>N204*'Resumen'!$B$8</x:f>
        <x:v>0</x:v>
      </x:c>
      <x:c r="P204" s="8" t="n">
        <x:f>M204+O204</x:f>
        <x:v>8586.72</x:v>
      </x:c>
      <x:c r="Q204" s="8" t="n">
        <x:f>P204-H204</x:f>
        <x:v>8586.72</x:v>
      </x:c>
      <x:c r="R204" s="8" t="n">
        <x:v>0</x:v>
      </x:c>
      <x:c r="S204" s="8" t="n">
        <x:f>R204*'Resumen'!$B$8</x:f>
        <x:v>0</x:v>
      </x:c>
      <x:c r="T204" s="8" t="n">
        <x:f>M204+S204</x:f>
        <x:v>8586.72</x:v>
      </x:c>
      <x:c r="U204" s="8" t="n">
        <x:f>T204-H204</x:f>
        <x:v>8586.72</x:v>
      </x:c>
      <x:c r="V204" s="27" t="n">
        <x:v>0</x:v>
      </x:c>
    </x:row>
    <x:row r="205">
      <x:c r="A205" s="28" t="str">
        <x:v>183064</x:v>
      </x:c>
      <x:c r="B205" s="25" t="n">
        <x:v>4</x:v>
      </x:c>
      <x:c r="C205" s="25" t="n">
        <x:v>1639</x:v>
      </x:c>
      <x:c r="D205" s="25" t="n">
        <x:f>IF(B205=0,0,C205/B205)</x:f>
        <x:v>409.75</x:v>
      </x:c>
      <x:c r="E205" s="26" t="n">
        <x:f>IF(D205=0,0,D205/MAX($D$6:$D$337))</x:f>
        <x:v>0.29315719542109564</x:v>
      </x:c>
      <x:c r="F205" s="26" t="n">
        <x:f>IF(B205=0,0,B205/MAX($B$6:$B$337))</x:f>
        <x:v>0.14285714285714285</x:v>
      </x:c>
      <x:c r="G205" s="26" t="n">
        <x:f>'Resumen'!$B$9*E205+'Resumen'!$B$10*F205</x:f>
        <x:v>0.24806717965190977</x:v>
      </x:c>
      <x:c r="H205" s="8" t="n">
        <x:v>18336.36</x:v>
      </x:c>
      <x:c r="I205" s="8" t="n">
        <x:v>7081.19</x:v>
      </x:c>
      <x:c r="J205" s="8" t="n">
        <x:f>MAX(H205-I205,0)</x:f>
        <x:v>11255.170000000002</x:v>
      </x:c>
      <x:c r="K205" s="8" t="n">
        <x:f>J205*G205</x:f>
        <x:v>2792.0382784027856</x:v>
      </x:c>
      <x:c r="L205" s="8" t="n">
        <x:f>IFERROR('Resumen'!$B$14*K205/SUM($K$6:$K$337),0)</x:f>
        <x:v>2022.3529924263842</x:v>
      </x:c>
      <x:c r="M205" s="8" t="n">
        <x:f>I205+L205</x:f>
        <x:v>9103.542992426384</x:v>
      </x:c>
      <x:c r="N205" s="8" t="n">
        <x:v>0</x:v>
      </x:c>
      <x:c r="O205" s="8" t="n">
        <x:f>N205*'Resumen'!$B$8</x:f>
        <x:v>0</x:v>
      </x:c>
      <x:c r="P205" s="8" t="n">
        <x:f>M205+O205</x:f>
        <x:v>9103.542992426384</x:v>
      </x:c>
      <x:c r="Q205" s="8" t="n">
        <x:f>P205-H205</x:f>
        <x:v>-9232.817007573616</x:v>
      </x:c>
      <x:c r="R205" s="8" t="n">
        <x:v>0</x:v>
      </x:c>
      <x:c r="S205" s="8" t="n">
        <x:f>R205*'Resumen'!$B$8</x:f>
        <x:v>0</x:v>
      </x:c>
      <x:c r="T205" s="8" t="n">
        <x:f>M205+S205</x:f>
        <x:v>9103.542992426384</x:v>
      </x:c>
      <x:c r="U205" s="8" t="n">
        <x:f>T205-H205</x:f>
        <x:v>-9232.817007573616</x:v>
      </x:c>
      <x:c r="V205" s="27" t="n">
        <x:v>0</x:v>
      </x:c>
    </x:row>
    <x:row r="206">
      <x:c r="A206" s="28" t="str">
        <x:v>187265</x:v>
      </x:c>
      <x:c r="B206" s="25" t="n">
        <x:v>4</x:v>
      </x:c>
      <x:c r="C206" s="25" t="n">
        <x:v>864</x:v>
      </x:c>
      <x:c r="D206" s="25" t="n">
        <x:f>IF(B206=0,0,C206/B206)</x:f>
        <x:v>216</x:v>
      </x:c>
      <x:c r="E206" s="26" t="n">
        <x:f>IF(D206=0,0,D206/MAX($D$6:$D$337))</x:f>
        <x:v>0.1545380212591987</x:v>
      </x:c>
      <x:c r="F206" s="26" t="n">
        <x:f>IF(B206=0,0,B206/MAX($B$6:$B$337))</x:f>
        <x:v>0.14285714285714285</x:v>
      </x:c>
      <x:c r="G206" s="26" t="n">
        <x:f>'Resumen'!$B$9*E206+'Resumen'!$B$10*F206</x:f>
        <x:v>0.15103375773858194</x:v>
      </x:c>
      <x:c r="H206" s="8" t="n">
        <x:v>0</x:v>
      </x:c>
      <x:c r="I206" s="8" t="n">
        <x:v>5463.55</x:v>
      </x:c>
      <x:c r="J206" s="8" t="n">
        <x:f>MAX(H206-I206,0)</x:f>
        <x:v>0</x:v>
      </x:c>
      <x:c r="K206" s="8" t="n">
        <x:f>J206*G206</x:f>
        <x:v>0</x:v>
      </x:c>
      <x:c r="L206" s="8" t="n">
        <x:f>IFERROR('Resumen'!$B$14*K206/SUM($K$6:$K$337),0)</x:f>
        <x:v>0</x:v>
      </x:c>
      <x:c r="M206" s="8" t="n">
        <x:f>I206+L206</x:f>
        <x:v>5463.55</x:v>
      </x:c>
      <x:c r="N206" s="8" t="n">
        <x:v>0</x:v>
      </x:c>
      <x:c r="O206" s="8" t="n">
        <x:f>N206*'Resumen'!$B$8</x:f>
        <x:v>0</x:v>
      </x:c>
      <x:c r="P206" s="8" t="n">
        <x:f>M206+O206</x:f>
        <x:v>5463.55</x:v>
      </x:c>
      <x:c r="Q206" s="8" t="n">
        <x:f>P206-H206</x:f>
        <x:v>5463.55</x:v>
      </x:c>
      <x:c r="R206" s="8" t="n">
        <x:v>0</x:v>
      </x:c>
      <x:c r="S206" s="8" t="n">
        <x:f>R206*'Resumen'!$B$8</x:f>
        <x:v>0</x:v>
      </x:c>
      <x:c r="T206" s="8" t="n">
        <x:f>M206+S206</x:f>
        <x:v>5463.55</x:v>
      </x:c>
      <x:c r="U206" s="8" t="n">
        <x:f>T206-H206</x:f>
        <x:v>5463.55</x:v>
      </x:c>
      <x:c r="V206" s="27" t="n">
        <x:v>0</x:v>
      </x:c>
    </x:row>
    <x:row r="207">
      <x:c r="A207" s="28" t="str">
        <x:v>187400</x:v>
      </x:c>
      <x:c r="B207" s="25" t="n">
        <x:v>4</x:v>
      </x:c>
      <x:c r="C207" s="25" t="n">
        <x:v>1698</x:v>
      </x:c>
      <x:c r="D207" s="25" t="n">
        <x:f>IF(B207=0,0,C207/B207)</x:f>
        <x:v>424.5</x:v>
      </x:c>
      <x:c r="E207" s="26" t="n">
        <x:f>IF(D207=0,0,D207/MAX($D$6:$D$337))</x:f>
        <x:v>0.303710139002453</x:v>
      </x:c>
      <x:c r="F207" s="26" t="n">
        <x:f>IF(B207=0,0,B207/MAX($B$6:$B$337))</x:f>
        <x:v>0.14285714285714285</x:v>
      </x:c>
      <x:c r="G207" s="26" t="n">
        <x:f>'Resumen'!$B$9*E207+'Resumen'!$B$10*F207</x:f>
        <x:v>0.2554542401588599</x:v>
      </x:c>
      <x:c r="H207" s="8" t="n">
        <x:v>4811.52</x:v>
      </x:c>
      <x:c r="I207" s="8" t="n">
        <x:v>9108.62</x:v>
      </x:c>
      <x:c r="J207" s="8" t="n">
        <x:f>MAX(H207-I207,0)</x:f>
        <x:v>0</x:v>
      </x:c>
      <x:c r="K207" s="8" t="n">
        <x:f>J207*G207</x:f>
        <x:v>0</x:v>
      </x:c>
      <x:c r="L207" s="8" t="n">
        <x:f>IFERROR('Resumen'!$B$14*K207/SUM($K$6:$K$337),0)</x:f>
        <x:v>0</x:v>
      </x:c>
      <x:c r="M207" s="8" t="n">
        <x:f>I207+L207</x:f>
        <x:v>9108.62</x:v>
      </x:c>
      <x:c r="N207" s="8" t="n">
        <x:v>0</x:v>
      </x:c>
      <x:c r="O207" s="8" t="n">
        <x:f>N207*'Resumen'!$B$8</x:f>
        <x:v>0</x:v>
      </x:c>
      <x:c r="P207" s="8" t="n">
        <x:f>M207+O207</x:f>
        <x:v>9108.62</x:v>
      </x:c>
      <x:c r="Q207" s="8" t="n">
        <x:f>P207-H207</x:f>
        <x:v>4297.1</x:v>
      </x:c>
      <x:c r="R207" s="8" t="n">
        <x:v>0</x:v>
      </x:c>
      <x:c r="S207" s="8" t="n">
        <x:f>R207*'Resumen'!$B$8</x:f>
        <x:v>0</x:v>
      </x:c>
      <x:c r="T207" s="8" t="n">
        <x:f>M207+S207</x:f>
        <x:v>9108.62</x:v>
      </x:c>
      <x:c r="U207" s="8" t="n">
        <x:f>T207-H207</x:f>
        <x:v>4297.1</x:v>
      </x:c>
      <x:c r="V207" s="27" t="n">
        <x:v>0</x:v>
      </x:c>
    </x:row>
    <x:row r="208">
      <x:c r="A208" s="28" t="str">
        <x:v>189231</x:v>
      </x:c>
      <x:c r="B208" s="25" t="n">
        <x:v>3</x:v>
      </x:c>
      <x:c r="C208" s="25" t="n">
        <x:v>1181</x:v>
      </x:c>
      <x:c r="D208" s="25" t="n">
        <x:f>IF(B208=0,0,C208/B208)</x:f>
        <x:v>393.6666666666667</x:v>
      </x:c>
      <x:c r="E208" s="26" t="n">
        <x:f>IF(D208=0,0,D208/MAX($D$6:$D$337))</x:f>
        <x:v>0.2816503134369038</x:v>
      </x:c>
      <x:c r="F208" s="26" t="n">
        <x:f>IF(B208=0,0,B208/MAX($B$6:$B$337))</x:f>
        <x:v>0.10714285714285714</x:v>
      </x:c>
      <x:c r="G208" s="26" t="n">
        <x:f>'Resumen'!$B$9*E208+'Resumen'!$B$10*F208</x:f>
        <x:v>0.22929807654868978</x:v>
      </x:c>
      <x:c r="H208" s="8" t="n">
        <x:v>0</x:v>
      </x:c>
      <x:c r="I208" s="8" t="n">
        <x:v>6429.21</x:v>
      </x:c>
      <x:c r="J208" s="8" t="n">
        <x:f>MAX(H208-I208,0)</x:f>
        <x:v>0</x:v>
      </x:c>
      <x:c r="K208" s="8" t="n">
        <x:f>J208*G208</x:f>
        <x:v>0</x:v>
      </x:c>
      <x:c r="L208" s="8" t="n">
        <x:f>IFERROR('Resumen'!$B$14*K208/SUM($K$6:$K$337),0)</x:f>
        <x:v>0</x:v>
      </x:c>
      <x:c r="M208" s="8" t="n">
        <x:f>I208+L208</x:f>
        <x:v>6429.21</x:v>
      </x:c>
      <x:c r="N208" s="8" t="n">
        <x:v>0</x:v>
      </x:c>
      <x:c r="O208" s="8" t="n">
        <x:f>N208*'Resumen'!$B$8</x:f>
        <x:v>0</x:v>
      </x:c>
      <x:c r="P208" s="8" t="n">
        <x:f>M208+O208</x:f>
        <x:v>6429.21</x:v>
      </x:c>
      <x:c r="Q208" s="8" t="n">
        <x:f>P208-H208</x:f>
        <x:v>6429.21</x:v>
      </x:c>
      <x:c r="R208" s="8" t="n">
        <x:v>0</x:v>
      </x:c>
      <x:c r="S208" s="8" t="n">
        <x:f>R208*'Resumen'!$B$8</x:f>
        <x:v>0</x:v>
      </x:c>
      <x:c r="T208" s="8" t="n">
        <x:f>M208+S208</x:f>
        <x:v>6429.21</x:v>
      </x:c>
      <x:c r="U208" s="8" t="n">
        <x:f>T208-H208</x:f>
        <x:v>6429.21</x:v>
      </x:c>
      <x:c r="V208" s="27" t="n">
        <x:v>0</x:v>
      </x:c>
    </x:row>
    <x:row r="209">
      <x:c r="A209" s="28" t="str">
        <x:v>189685</x:v>
      </x:c>
      <x:c r="B209" s="25" t="n">
        <x:v>4</x:v>
      </x:c>
      <x:c r="C209" s="25" t="n">
        <x:v>1670</x:v>
      </x:c>
      <x:c r="D209" s="25" t="n">
        <x:f>IF(B209=0,0,C209/B209)</x:f>
        <x:v>417.5</x:v>
      </x:c>
      <x:c r="E209" s="26" t="n">
        <x:f>IF(D209=0,0,D209/MAX($D$6:$D$337))</x:f>
        <x:v>0.2987019623875715</x:v>
      </x:c>
      <x:c r="F209" s="26" t="n">
        <x:f>IF(B209=0,0,B209/MAX($B$6:$B$337))</x:f>
        <x:v>0.14285714285714285</x:v>
      </x:c>
      <x:c r="G209" s="26" t="n">
        <x:f>'Resumen'!$B$9*E209+'Resumen'!$B$10*F209</x:f>
        <x:v>0.2519485165284429</x:v>
      </x:c>
      <x:c r="H209" s="8" t="n">
        <x:v>0</x:v>
      </x:c>
      <x:c r="I209" s="8" t="n">
        <x:v>9837.16</x:v>
      </x:c>
      <x:c r="J209" s="8" t="n">
        <x:f>MAX(H209-I209,0)</x:f>
        <x:v>0</x:v>
      </x:c>
      <x:c r="K209" s="8" t="n">
        <x:f>J209*G209</x:f>
        <x:v>0</x:v>
      </x:c>
      <x:c r="L209" s="8" t="n">
        <x:f>IFERROR('Resumen'!$B$14*K209/SUM($K$6:$K$337),0)</x:f>
        <x:v>0</x:v>
      </x:c>
      <x:c r="M209" s="8" t="n">
        <x:f>I209+L209</x:f>
        <x:v>9837.16</x:v>
      </x:c>
      <x:c r="N209" s="8" t="n">
        <x:v>0</x:v>
      </x:c>
      <x:c r="O209" s="8" t="n">
        <x:f>N209*'Resumen'!$B$8</x:f>
        <x:v>0</x:v>
      </x:c>
      <x:c r="P209" s="8" t="n">
        <x:f>M209+O209</x:f>
        <x:v>9837.16</x:v>
      </x:c>
      <x:c r="Q209" s="8" t="n">
        <x:f>P209-H209</x:f>
        <x:v>9837.16</x:v>
      </x:c>
      <x:c r="R209" s="8" t="n">
        <x:v>0</x:v>
      </x:c>
      <x:c r="S209" s="8" t="n">
        <x:f>R209*'Resumen'!$B$8</x:f>
        <x:v>0</x:v>
      </x:c>
      <x:c r="T209" s="8" t="n">
        <x:f>M209+S209</x:f>
        <x:v>9837.16</x:v>
      </x:c>
      <x:c r="U209" s="8" t="n">
        <x:f>T209-H209</x:f>
        <x:v>9837.16</x:v>
      </x:c>
      <x:c r="V209" s="27" t="n">
        <x:v>0</x:v>
      </x:c>
    </x:row>
    <x:row r="210">
      <x:c r="A210" s="28" t="str">
        <x:v>195120</x:v>
      </x:c>
      <x:c r="B210" s="25" t="n">
        <x:v>1</x:v>
      </x:c>
      <x:c r="C210" s="25" t="n">
        <x:v>0</x:v>
      </x:c>
      <x:c r="D210" s="25" t="n">
        <x:f>IF(B210=0,0,C210/B210)</x:f>
        <x:v>0</x:v>
      </x:c>
      <x:c r="E210" s="26" t="n">
        <x:f>IF(D210=0,0,D210/MAX($D$6:$D$337))</x:f>
        <x:v>0</x:v>
      </x:c>
      <x:c r="F210" s="26" t="n">
        <x:f>IF(B210=0,0,B210/MAX($B$6:$B$337))</x:f>
        <x:v>0.03571428571428571</x:v>
      </x:c>
      <x:c r="G210" s="26" t="n">
        <x:f>'Resumen'!$B$9*E210+'Resumen'!$B$10*F210</x:f>
        <x:v>0.010714285714285713</x:v>
      </x:c>
      <x:c r="H210" s="8" t="n">
        <x:v>0</x:v>
      </x:c>
      <x:c r="I210" s="8" t="n">
        <x:v>0</x:v>
      </x:c>
      <x:c r="J210" s="8" t="n">
        <x:f>MAX(H210-I210,0)</x:f>
        <x:v>0</x:v>
      </x:c>
      <x:c r="K210" s="8" t="n">
        <x:f>J210*G210</x:f>
        <x:v>0</x:v>
      </x:c>
      <x:c r="L210" s="8" t="n">
        <x:f>IFERROR('Resumen'!$B$14*K210/SUM($K$6:$K$337),0)</x:f>
        <x:v>0</x:v>
      </x:c>
      <x:c r="M210" s="8" t="n">
        <x:f>I210+L210</x:f>
        <x:v>0</x:v>
      </x:c>
      <x:c r="N210" s="8" t="n">
        <x:v>0</x:v>
      </x:c>
      <x:c r="O210" s="8" t="n">
        <x:f>N210*'Resumen'!$B$8</x:f>
        <x:v>0</x:v>
      </x:c>
      <x:c r="P210" s="8" t="n">
        <x:f>M210+O210</x:f>
        <x:v>0</x:v>
      </x:c>
      <x:c r="Q210" s="8" t="n">
        <x:f>P210-H210</x:f>
        <x:v>0</x:v>
      </x:c>
      <x:c r="R210" s="8" t="n">
        <x:v>0</x:v>
      </x:c>
      <x:c r="S210" s="8" t="n">
        <x:f>R210*'Resumen'!$B$8</x:f>
        <x:v>0</x:v>
      </x:c>
      <x:c r="T210" s="8" t="n">
        <x:f>M210+S210</x:f>
        <x:v>0</x:v>
      </x:c>
      <x:c r="U210" s="8" t="n">
        <x:f>T210-H210</x:f>
        <x:v>0</x:v>
      </x:c>
      <x:c r="V210" s="27" t="n">
        <x:v>0</x:v>
      </x:c>
    </x:row>
    <x:row r="211">
      <x:c r="A211" s="28" t="str">
        <x:v>198673</x:v>
      </x:c>
      <x:c r="B211" s="25" t="n">
        <x:v>22</x:v>
      </x:c>
      <x:c r="C211" s="25" t="n">
        <x:v>16878</x:v>
      </x:c>
      <x:c r="D211" s="25" t="n">
        <x:f>IF(B211=0,0,C211/B211)</x:f>
        <x:v>767.1818181818181</x:v>
      </x:c>
      <x:c r="E211" s="26" t="n">
        <x:f>IF(D211=0,0,D211/MAX($D$6:$D$337))</x:f>
        <x:v>0.548883148740058</x:v>
      </x:c>
      <x:c r="F211" s="26" t="n">
        <x:f>IF(B211=0,0,B211/MAX($B$6:$B$337))</x:f>
        <x:v>0.7857142857142857</x:v>
      </x:c>
      <x:c r="G211" s="26" t="n">
        <x:f>'Resumen'!$B$9*E211+'Resumen'!$B$10*F211</x:f>
        <x:v>0.6199324898323262</x:v>
      </x:c>
      <x:c r="H211" s="8" t="n">
        <x:v>324799.84</x:v>
      </x:c>
      <x:c r="I211" s="8" t="n">
        <x:v>126710.25000000001</x:v>
      </x:c>
      <x:c r="J211" s="8" t="n">
        <x:f>MAX(H211-I211,0)</x:f>
        <x:v>198089.59000000003</x:v>
      </x:c>
      <x:c r="K211" s="8" t="n">
        <x:f>J211*G211</x:f>
        <x:v>122802.17273856468</x:v>
      </x:c>
      <x:c r="L211" s="8" t="n">
        <x:f>IFERROR('Resumen'!$B$14*K211/SUM($K$6:$K$337),0)</x:f>
        <x:v>88949.11772354669</x:v>
      </x:c>
      <x:c r="M211" s="8" t="n">
        <x:f>I211+L211</x:f>
        <x:v>215659.3677235467</x:v>
      </x:c>
      <x:c r="N211" s="8" t="n">
        <x:v>0</x:v>
      </x:c>
      <x:c r="O211" s="8" t="n">
        <x:f>N211*'Resumen'!$B$8</x:f>
        <x:v>0</x:v>
      </x:c>
      <x:c r="P211" s="8" t="n">
        <x:f>M211+O211</x:f>
        <x:v>215659.3677235467</x:v>
      </x:c>
      <x:c r="Q211" s="8" t="n">
        <x:f>P211-H211</x:f>
        <x:v>-109140.47227645334</x:v>
      </x:c>
      <x:c r="R211" s="8" t="n">
        <x:v>0</x:v>
      </x:c>
      <x:c r="S211" s="8" t="n">
        <x:f>R211*'Resumen'!$B$8</x:f>
        <x:v>0</x:v>
      </x:c>
      <x:c r="T211" s="8" t="n">
        <x:f>M211+S211</x:f>
        <x:v>215659.3677235467</x:v>
      </x:c>
      <x:c r="U211" s="8" t="n">
        <x:f>T211-H211</x:f>
        <x:v>-109140.47227645334</x:v>
      </x:c>
      <x:c r="V211" s="27" t="n">
        <x:v>0</x:v>
      </x:c>
    </x:row>
    <x:row r="212">
      <x:c r="A212" s="28" t="str">
        <x:v>69703</x:v>
      </x:c>
      <x:c r="B212" s="25" t="n">
        <x:v>15</x:v>
      </x:c>
      <x:c r="C212" s="25" t="n">
        <x:v>0</x:v>
      </x:c>
      <x:c r="D212" s="25" t="n">
        <x:f>IF(B212=0,0,C212/B212)</x:f>
        <x:v>0</x:v>
      </x:c>
      <x:c r="E212" s="26" t="n">
        <x:f>IF(D212=0,0,D212/MAX($D$6:$D$337))</x:f>
        <x:v>0</x:v>
      </x:c>
      <x:c r="F212" s="26" t="n">
        <x:f>IF(B212=0,0,B212/MAX($B$6:$B$337))</x:f>
        <x:v>0.5357142857142857</x:v>
      </x:c>
      <x:c r="G212" s="26" t="n">
        <x:f>'Resumen'!$B$9*E212+'Resumen'!$B$10*F212</x:f>
        <x:v>0.1607142857142857</x:v>
      </x:c>
      <x:c r="H212" s="8" t="n">
        <x:v>0</x:v>
      </x:c>
      <x:c r="I212" s="8" t="n">
        <x:v>0</x:v>
      </x:c>
      <x:c r="J212" s="8" t="n">
        <x:f>MAX(H212-I212,0)</x:f>
        <x:v>0</x:v>
      </x:c>
      <x:c r="K212" s="8" t="n">
        <x:f>J212*G212</x:f>
        <x:v>0</x:v>
      </x:c>
      <x:c r="L212" s="8" t="n">
        <x:f>IFERROR('Resumen'!$B$14*K212/SUM($K$6:$K$337),0)</x:f>
        <x:v>0</x:v>
      </x:c>
      <x:c r="M212" s="8" t="n">
        <x:f>I212+L212</x:f>
        <x:v>0</x:v>
      </x:c>
      <x:c r="N212" s="8" t="n">
        <x:v>0</x:v>
      </x:c>
      <x:c r="O212" s="8" t="n">
        <x:f>N212*'Resumen'!$B$8</x:f>
        <x:v>0</x:v>
      </x:c>
      <x:c r="P212" s="8" t="n">
        <x:f>M212+O212</x:f>
        <x:v>0</x:v>
      </x:c>
      <x:c r="Q212" s="8" t="n">
        <x:f>P212-H212</x:f>
        <x:v>0</x:v>
      </x:c>
      <x:c r="R212" s="8" t="n">
        <x:v>0</x:v>
      </x:c>
      <x:c r="S212" s="8" t="n">
        <x:f>R212*'Resumen'!$B$8</x:f>
        <x:v>0</x:v>
      </x:c>
      <x:c r="T212" s="8" t="n">
        <x:f>M212+S212</x:f>
        <x:v>0</x:v>
      </x:c>
      <x:c r="U212" s="8" t="n">
        <x:f>T212-H212</x:f>
        <x:v>0</x:v>
      </x:c>
      <x:c r="V212" s="27" t="n">
        <x:v>0</x:v>
      </x:c>
    </x:row>
    <x:row r="213">
      <x:c r="A213" s="28" t="str">
        <x:v>734434</x:v>
      </x:c>
      <x:c r="B213" s="25" t="n">
        <x:v>11</x:v>
      </x:c>
      <x:c r="C213" s="25" t="n">
        <x:v>6853</x:v>
      </x:c>
      <x:c r="D213" s="25" t="n">
        <x:f>IF(B213=0,0,C213/B213)</x:f>
        <x:v>623</x:v>
      </x:c>
      <x:c r="E213" s="26" t="n">
        <x:f>IF(D213=0,0,D213/MAX($D$6:$D$337))</x:f>
        <x:v>0.44572771872444805</x:v>
      </x:c>
      <x:c r="F213" s="26" t="n">
        <x:f>IF(B213=0,0,B213/MAX($B$6:$B$337))</x:f>
        <x:v>0.39285714285714285</x:v>
      </x:c>
      <x:c r="G213" s="26" t="n">
        <x:f>'Resumen'!$B$9*E213+'Resumen'!$B$10*F213</x:f>
        <x:v>0.42986654596425644</x:v>
      </x:c>
      <x:c r="H213" s="8" t="n">
        <x:v>59221.69</x:v>
      </x:c>
      <x:c r="I213" s="8" t="n">
        <x:v>51462.780000000006</x:v>
      </x:c>
      <x:c r="J213" s="8" t="n">
        <x:f>MAX(H213-I213,0)</x:f>
        <x:v>7758.909999999996</x:v>
      </x:c>
      <x:c r="K213" s="8" t="n">
        <x:f>J213*G213</x:f>
        <x:v>3335.2958421475273</x:v>
      </x:c>
      <x:c r="L213" s="8" t="n">
        <x:f>IFERROR('Resumen'!$B$14*K213/SUM($K$6:$K$337),0)</x:f>
        <x:v>2415.8499470333045</x:v>
      </x:c>
      <x:c r="M213" s="8" t="n">
        <x:f>I213+L213</x:f>
        <x:v>53878.62994703331</x:v>
      </x:c>
      <x:c r="N213" s="8" t="n">
        <x:v>0</x:v>
      </x:c>
      <x:c r="O213" s="8" t="n">
        <x:f>N213*'Resumen'!$B$8</x:f>
        <x:v>0</x:v>
      </x:c>
      <x:c r="P213" s="8" t="n">
        <x:f>M213+O213</x:f>
        <x:v>53878.62994703331</x:v>
      </x:c>
      <x:c r="Q213" s="8" t="n">
        <x:f>P213-H213</x:f>
        <x:v>-5343.060052966692</x:v>
      </x:c>
      <x:c r="R213" s="8" t="n">
        <x:v>0</x:v>
      </x:c>
      <x:c r="S213" s="8" t="n">
        <x:f>R213*'Resumen'!$B$8</x:f>
        <x:v>0</x:v>
      </x:c>
      <x:c r="T213" s="8" t="n">
        <x:f>M213+S213</x:f>
        <x:v>53878.62994703331</x:v>
      </x:c>
      <x:c r="U213" s="8" t="n">
        <x:f>T213-H213</x:f>
        <x:v>-5343.060052966692</x:v>
      </x:c>
      <x:c r="V213" s="27" t="n">
        <x:v>0</x:v>
      </x:c>
    </x:row>
    <x:row r="214">
      <x:c r="A214" s="28" t="str">
        <x:v>735001</x:v>
      </x:c>
      <x:c r="B214" s="25" t="n">
        <x:v>5</x:v>
      </x:c>
      <x:c r="C214" s="25" t="n">
        <x:v>1077</x:v>
      </x:c>
      <x:c r="D214" s="25" t="n">
        <x:f>IF(B214=0,0,C214/B214)</x:f>
        <x:v>215.4</x:v>
      </x:c>
      <x:c r="E214" s="26" t="n">
        <x:f>IF(D214=0,0,D214/MAX($D$6:$D$337))</x:f>
        <x:v>0.15410874897792315</x:v>
      </x:c>
      <x:c r="F214" s="26" t="n">
        <x:f>IF(B214=0,0,B214/MAX($B$6:$B$337))</x:f>
        <x:v>0.17857142857142858</x:v>
      </x:c>
      <x:c r="G214" s="26" t="n">
        <x:f>'Resumen'!$B$9*E214+'Resumen'!$B$10*F214</x:f>
        <x:v>0.16144755285597476</x:v>
      </x:c>
      <x:c r="H214" s="8" t="n">
        <x:v>0</x:v>
      </x:c>
      <x:c r="I214" s="8" t="n">
        <x:v>4442.05</x:v>
      </x:c>
      <x:c r="J214" s="8" t="n">
        <x:f>MAX(H214-I214,0)</x:f>
        <x:v>0</x:v>
      </x:c>
      <x:c r="K214" s="8" t="n">
        <x:f>J214*G214</x:f>
        <x:v>0</x:v>
      </x:c>
      <x:c r="L214" s="8" t="n">
        <x:f>IFERROR('Resumen'!$B$14*K214/SUM($K$6:$K$337),0)</x:f>
        <x:v>0</x:v>
      </x:c>
      <x:c r="M214" s="8" t="n">
        <x:f>I214+L214</x:f>
        <x:v>4442.05</x:v>
      </x:c>
      <x:c r="N214" s="8" t="n">
        <x:v>0</x:v>
      </x:c>
      <x:c r="O214" s="8" t="n">
        <x:f>N214*'Resumen'!$B$8</x:f>
        <x:v>0</x:v>
      </x:c>
      <x:c r="P214" s="8" t="n">
        <x:f>M214+O214</x:f>
        <x:v>4442.05</x:v>
      </x:c>
      <x:c r="Q214" s="8" t="n">
        <x:f>P214-H214</x:f>
        <x:v>4442.05</x:v>
      </x:c>
      <x:c r="R214" s="8" t="n">
        <x:v>0</x:v>
      </x:c>
      <x:c r="S214" s="8" t="n">
        <x:f>R214*'Resumen'!$B$8</x:f>
        <x:v>0</x:v>
      </x:c>
      <x:c r="T214" s="8" t="n">
        <x:f>M214+S214</x:f>
        <x:v>4442.05</x:v>
      </x:c>
      <x:c r="U214" s="8" t="n">
        <x:f>T214-H214</x:f>
        <x:v>4442.05</x:v>
      </x:c>
      <x:c r="V214" s="27" t="n">
        <x:v>0</x:v>
      </x:c>
    </x:row>
    <x:row r="215">
      <x:c r="A215" s="28" t="str">
        <x:v>735006</x:v>
      </x:c>
      <x:c r="B215" s="25" t="n">
        <x:v>10</x:v>
      </x:c>
      <x:c r="C215" s="25" t="n">
        <x:v>5846</x:v>
      </x:c>
      <x:c r="D215" s="25" t="n">
        <x:f>IF(B215=0,0,C215/B215)</x:f>
        <x:v>584.6</x:v>
      </x:c>
      <x:c r="E215" s="26" t="n">
        <x:f>IF(D215=0,0,D215/MAX($D$6:$D$337))</x:f>
        <x:v>0.4182542927228127</x:v>
      </x:c>
      <x:c r="F215" s="26" t="n">
        <x:f>IF(B215=0,0,B215/MAX($B$6:$B$337))</x:f>
        <x:v>0.35714285714285715</x:v>
      </x:c>
      <x:c r="G215" s="26" t="n">
        <x:f>'Resumen'!$B$9*E215+'Resumen'!$B$10*F215</x:f>
        <x:v>0.39992086204882604</x:v>
      </x:c>
      <x:c r="H215" s="8" t="n">
        <x:v>50072.67</x:v>
      </x:c>
      <x:c r="I215" s="8" t="n">
        <x:v>42672.57</x:v>
      </x:c>
      <x:c r="J215" s="8" t="n">
        <x:f>MAX(H215-I215,0)</x:f>
        <x:v>7400.0999999999985</x:v>
      </x:c>
      <x:c r="K215" s="8" t="n">
        <x:f>J215*G215</x:f>
        <x:v>2959.454371247517</x:v>
      </x:c>
      <x:c r="L215" s="8" t="n">
        <x:f>IFERROR('Resumen'!$B$14*K215/SUM($K$6:$K$337),0)</x:f>
        <x:v>2143.617245486181</x:v>
      </x:c>
      <x:c r="M215" s="8" t="n">
        <x:f>I215+L215</x:f>
        <x:v>44816.18724548618</x:v>
      </x:c>
      <x:c r="N215" s="8" t="n">
        <x:v>0</x:v>
      </x:c>
      <x:c r="O215" s="8" t="n">
        <x:f>N215*'Resumen'!$B$8</x:f>
        <x:v>0</x:v>
      </x:c>
      <x:c r="P215" s="8" t="n">
        <x:f>M215+O215</x:f>
        <x:v>44816.18724548618</x:v>
      </x:c>
      <x:c r="Q215" s="8" t="n">
        <x:f>P215-H215</x:f>
        <x:v>-5256.482754513818</x:v>
      </x:c>
      <x:c r="R215" s="8" t="n">
        <x:v>0</x:v>
      </x:c>
      <x:c r="S215" s="8" t="n">
        <x:f>R215*'Resumen'!$B$8</x:f>
        <x:v>0</x:v>
      </x:c>
      <x:c r="T215" s="8" t="n">
        <x:f>M215+S215</x:f>
        <x:v>44816.18724548618</x:v>
      </x:c>
      <x:c r="U215" s="8" t="n">
        <x:f>T215-H215</x:f>
        <x:v>-5256.482754513818</x:v>
      </x:c>
      <x:c r="V215" s="27" t="n">
        <x:v>0</x:v>
      </x:c>
    </x:row>
    <x:row r="216">
      <x:c r="A216" s="28" t="str">
        <x:v>735023</x:v>
      </x:c>
      <x:c r="B216" s="25" t="n">
        <x:v>2</x:v>
      </x:c>
      <x:c r="C216" s="25" t="n">
        <x:v>501</x:v>
      </x:c>
      <x:c r="D216" s="25" t="n">
        <x:f>IF(B216=0,0,C216/B216)</x:f>
        <x:v>250.5</x:v>
      </x:c>
      <x:c r="E216" s="26" t="n">
        <x:f>IF(D216=0,0,D216/MAX($D$6:$D$337))</x:f>
        <x:v>0.17922117743254293</x:v>
      </x:c>
      <x:c r="F216" s="26" t="n">
        <x:f>IF(B216=0,0,B216/MAX($B$6:$B$337))</x:f>
        <x:v>0.07142857142857142</x:v>
      </x:c>
      <x:c r="G216" s="26" t="n">
        <x:f>'Resumen'!$B$9*E216+'Resumen'!$B$10*F216</x:f>
        <x:v>0.14688339563135147</x:v>
      </x:c>
      <x:c r="H216" s="8" t="n">
        <x:v>0</x:v>
      </x:c>
      <x:c r="I216" s="8" t="n">
        <x:v>2561.87</x:v>
      </x:c>
      <x:c r="J216" s="8" t="n">
        <x:f>MAX(H216-I216,0)</x:f>
        <x:v>0</x:v>
      </x:c>
      <x:c r="K216" s="8" t="n">
        <x:f>J216*G216</x:f>
        <x:v>0</x:v>
      </x:c>
      <x:c r="L216" s="8" t="n">
        <x:f>IFERROR('Resumen'!$B$14*K216/SUM($K$6:$K$337),0)</x:f>
        <x:v>0</x:v>
      </x:c>
      <x:c r="M216" s="8" t="n">
        <x:f>I216+L216</x:f>
        <x:v>2561.87</x:v>
      </x:c>
      <x:c r="N216" s="8" t="n">
        <x:v>0</x:v>
      </x:c>
      <x:c r="O216" s="8" t="n">
        <x:f>N216*'Resumen'!$B$8</x:f>
        <x:v>0</x:v>
      </x:c>
      <x:c r="P216" s="8" t="n">
        <x:f>M216+O216</x:f>
        <x:v>2561.87</x:v>
      </x:c>
      <x:c r="Q216" s="8" t="n">
        <x:f>P216-H216</x:f>
        <x:v>2561.87</x:v>
      </x:c>
      <x:c r="R216" s="8" t="n">
        <x:v>0</x:v>
      </x:c>
      <x:c r="S216" s="8" t="n">
        <x:f>R216*'Resumen'!$B$8</x:f>
        <x:v>0</x:v>
      </x:c>
      <x:c r="T216" s="8" t="n">
        <x:f>M216+S216</x:f>
        <x:v>2561.87</x:v>
      </x:c>
      <x:c r="U216" s="8" t="n">
        <x:f>T216-H216</x:f>
        <x:v>2561.87</x:v>
      </x:c>
      <x:c r="V216" s="27" t="n">
        <x:v>0</x:v>
      </x:c>
    </x:row>
    <x:row r="217">
      <x:c r="A217" s="28" t="str">
        <x:v>735109</x:v>
      </x:c>
      <x:c r="B217" s="25" t="n">
        <x:v>15</x:v>
      </x:c>
      <x:c r="C217" s="25" t="n">
        <x:v>8013</x:v>
      </x:c>
      <x:c r="D217" s="25" t="n">
        <x:f>IF(B217=0,0,C217/B217)</x:f>
        <x:v>534.2</x:v>
      </x:c>
      <x:c r="E217" s="26" t="n">
        <x:f>IF(D217=0,0,D217/MAX($D$6:$D$337))</x:f>
        <x:v>0.3821954210956664</x:v>
      </x:c>
      <x:c r="F217" s="26" t="n">
        <x:f>IF(B217=0,0,B217/MAX($B$6:$B$337))</x:f>
        <x:v>0.5357142857142857</x:v>
      </x:c>
      <x:c r="G217" s="26" t="n">
        <x:f>'Resumen'!$B$9*E217+'Resumen'!$B$10*F217</x:f>
        <x:v>0.42825108048125216</x:v>
      </x:c>
      <x:c r="H217" s="8" t="n">
        <x:v>45174.270000000004</x:v>
      </x:c>
      <x:c r="I217" s="8" t="n">
        <x:v>44252.30999999999</x:v>
      </x:c>
      <x:c r="J217" s="8" t="n">
        <x:f>MAX(H217-I217,0)</x:f>
        <x:v>921.9600000000137</x:v>
      </x:c>
      <x:c r="K217" s="8" t="n">
        <x:f>J217*G217</x:f>
        <x:v>394.8303661605011</x:v>
      </x:c>
      <x:c r="L217" s="8" t="n">
        <x:f>IFERROR('Resumen'!$B$14*K217/SUM($K$6:$K$337),0)</x:f>
        <x:v>285.9869002090748</x:v>
      </x:c>
      <x:c r="M217" s="8" t="n">
        <x:f>I217+L217</x:f>
        <x:v>44538.29690020907</x:v>
      </x:c>
      <x:c r="N217" s="8" t="n">
        <x:v>0</x:v>
      </x:c>
      <x:c r="O217" s="8" t="n">
        <x:f>N217*'Resumen'!$B$8</x:f>
        <x:v>0</x:v>
      </x:c>
      <x:c r="P217" s="8" t="n">
        <x:f>M217+O217</x:f>
        <x:v>44538.29690020907</x:v>
      </x:c>
      <x:c r="Q217" s="8" t="n">
        <x:f>P217-H217</x:f>
        <x:v>-635.9730997909355</x:v>
      </x:c>
      <x:c r="R217" s="8" t="n">
        <x:v>0</x:v>
      </x:c>
      <x:c r="S217" s="8" t="n">
        <x:f>R217*'Resumen'!$B$8</x:f>
        <x:v>0</x:v>
      </x:c>
      <x:c r="T217" s="8" t="n">
        <x:f>M217+S217</x:f>
        <x:v>44538.29690020907</x:v>
      </x:c>
      <x:c r="U217" s="8" t="n">
        <x:f>T217-H217</x:f>
        <x:v>-635.9730997909355</x:v>
      </x:c>
      <x:c r="V217" s="27" t="n">
        <x:v>0</x:v>
      </x:c>
    </x:row>
    <x:row r="218">
      <x:c r="A218" s="28" t="str">
        <x:v>735243</x:v>
      </x:c>
      <x:c r="B218" s="25" t="n">
        <x:v>10</x:v>
      </x:c>
      <x:c r="C218" s="25" t="n">
        <x:v>7883</x:v>
      </x:c>
      <x:c r="D218" s="25" t="n">
        <x:f>IF(B218=0,0,C218/B218)</x:f>
        <x:v>788.3</x:v>
      </x:c>
      <x:c r="E218" s="26" t="n">
        <x:f>IF(D218=0,0,D218/MAX($D$6:$D$337))</x:f>
        <x:v>0.5639922322158626</x:v>
      </x:c>
      <x:c r="F218" s="26" t="n">
        <x:f>IF(B218=0,0,B218/MAX($B$6:$B$337))</x:f>
        <x:v>0.35714285714285715</x:v>
      </x:c>
      <x:c r="G218" s="26" t="n">
        <x:f>'Resumen'!$B$9*E218+'Resumen'!$B$10*F218</x:f>
        <x:v>0.5019374196939609</x:v>
      </x:c>
      <x:c r="H218" s="8" t="n">
        <x:v>49848.969999999994</x:v>
      </x:c>
      <x:c r="I218" s="8" t="n">
        <x:v>70508.38</x:v>
      </x:c>
      <x:c r="J218" s="8" t="n">
        <x:f>MAX(H218-I218,0)</x:f>
        <x:v>0</x:v>
      </x:c>
      <x:c r="K218" s="8" t="n">
        <x:f>J218*G218</x:f>
        <x:v>0</x:v>
      </x:c>
      <x:c r="L218" s="8" t="n">
        <x:f>IFERROR('Resumen'!$B$14*K218/SUM($K$6:$K$337),0)</x:f>
        <x:v>0</x:v>
      </x:c>
      <x:c r="M218" s="8" t="n">
        <x:f>I218+L218</x:f>
        <x:v>70508.38</x:v>
      </x:c>
      <x:c r="N218" s="8" t="n">
        <x:v>0</x:v>
      </x:c>
      <x:c r="O218" s="8" t="n">
        <x:f>N218*'Resumen'!$B$8</x:f>
        <x:v>0</x:v>
      </x:c>
      <x:c r="P218" s="8" t="n">
        <x:f>M218+O218</x:f>
        <x:v>70508.38</x:v>
      </x:c>
      <x:c r="Q218" s="8" t="n">
        <x:f>P218-H218</x:f>
        <x:v>20659.41000000001</x:v>
      </x:c>
      <x:c r="R218" s="8" t="n">
        <x:v>0</x:v>
      </x:c>
      <x:c r="S218" s="8" t="n">
        <x:f>R218*'Resumen'!$B$8</x:f>
        <x:v>0</x:v>
      </x:c>
      <x:c r="T218" s="8" t="n">
        <x:f>M218+S218</x:f>
        <x:v>70508.38</x:v>
      </x:c>
      <x:c r="U218" s="8" t="n">
        <x:f>T218-H218</x:f>
        <x:v>20659.41000000001</x:v>
      </x:c>
      <x:c r="V218" s="27" t="n">
        <x:v>0</x:v>
      </x:c>
    </x:row>
    <x:row r="219">
      <x:c r="A219" s="28" t="str">
        <x:v>735250</x:v>
      </x:c>
      <x:c r="B219" s="25" t="n">
        <x:v>7</x:v>
      </x:c>
      <x:c r="C219" s="25" t="n">
        <x:v>6256</x:v>
      </x:c>
      <x:c r="D219" s="25" t="n">
        <x:f>IF(B219=0,0,C219/B219)</x:f>
        <x:v>893.7142857142857</x:v>
      </x:c>
      <x:c r="E219" s="26" t="n">
        <x:f>IF(D219=0,0,D219/MAX($D$6:$D$337))</x:f>
        <x:v>0.6394112837285363</x:v>
      </x:c>
      <x:c r="F219" s="26" t="n">
        <x:f>IF(B219=0,0,B219/MAX($B$6:$B$337))</x:f>
        <x:v>0.25</x:v>
      </x:c>
      <x:c r="G219" s="26" t="n">
        <x:f>'Resumen'!$B$9*E219+'Resumen'!$B$10*F219</x:f>
        <x:v>0.5225878986099753</x:v>
      </x:c>
      <x:c r="H219" s="8" t="n">
        <x:v>40838.08</x:v>
      </x:c>
      <x:c r="I219" s="8" t="n">
        <x:v>62201.58</x:v>
      </x:c>
      <x:c r="J219" s="8" t="n">
        <x:f>MAX(H219-I219,0)</x:f>
        <x:v>0</x:v>
      </x:c>
      <x:c r="K219" s="8" t="n">
        <x:f>J219*G219</x:f>
        <x:v>0</x:v>
      </x:c>
      <x:c r="L219" s="8" t="n">
        <x:f>IFERROR('Resumen'!$B$14*K219/SUM($K$6:$K$337),0)</x:f>
        <x:v>0</x:v>
      </x:c>
      <x:c r="M219" s="8" t="n">
        <x:f>I219+L219</x:f>
        <x:v>62201.58</x:v>
      </x:c>
      <x:c r="N219" s="8" t="n">
        <x:v>0</x:v>
      </x:c>
      <x:c r="O219" s="8" t="n">
        <x:f>N219*'Resumen'!$B$8</x:f>
        <x:v>0</x:v>
      </x:c>
      <x:c r="P219" s="8" t="n">
        <x:f>M219+O219</x:f>
        <x:v>62201.58</x:v>
      </x:c>
      <x:c r="Q219" s="8" t="n">
        <x:f>P219-H219</x:f>
        <x:v>21363.5</x:v>
      </x:c>
      <x:c r="R219" s="8" t="n">
        <x:v>0</x:v>
      </x:c>
      <x:c r="S219" s="8" t="n">
        <x:f>R219*'Resumen'!$B$8</x:f>
        <x:v>0</x:v>
      </x:c>
      <x:c r="T219" s="8" t="n">
        <x:f>M219+S219</x:f>
        <x:v>62201.58</x:v>
      </x:c>
      <x:c r="U219" s="8" t="n">
        <x:f>T219-H219</x:f>
        <x:v>21363.5</x:v>
      </x:c>
      <x:c r="V219" s="27" t="n">
        <x:v>0</x:v>
      </x:c>
    </x:row>
    <x:row r="220">
      <x:c r="A220" s="28" t="str">
        <x:v>735273</x:v>
      </x:c>
      <x:c r="B220" s="25" t="n">
        <x:v>11</x:v>
      </x:c>
      <x:c r="C220" s="25" t="n">
        <x:v>6413</x:v>
      </x:c>
      <x:c r="D220" s="25" t="n">
        <x:f>IF(B220=0,0,C220/B220)</x:f>
        <x:v>583</x:v>
      </x:c>
      <x:c r="E220" s="26" t="n">
        <x:f>IF(D220=0,0,D220/MAX($D$6:$D$337))</x:f>
        <x:v>0.4171095666394113</x:v>
      </x:c>
      <x:c r="F220" s="26" t="n">
        <x:f>IF(B220=0,0,B220/MAX($B$6:$B$337))</x:f>
        <x:v>0.39285714285714285</x:v>
      </x:c>
      <x:c r="G220" s="26" t="n">
        <x:f>'Resumen'!$B$9*E220+'Resumen'!$B$10*F220</x:f>
        <x:v>0.40983383950473073</x:v>
      </x:c>
      <x:c r="H220" s="8" t="n">
        <x:v>28890.17</x:v>
      </x:c>
      <x:c r="I220" s="8" t="n">
        <x:v>33604.119999999995</x:v>
      </x:c>
      <x:c r="J220" s="8" t="n">
        <x:f>MAX(H220-I220,0)</x:f>
        <x:v>0</x:v>
      </x:c>
      <x:c r="K220" s="8" t="n">
        <x:f>J220*G220</x:f>
        <x:v>0</x:v>
      </x:c>
      <x:c r="L220" s="8" t="n">
        <x:f>IFERROR('Resumen'!$B$14*K220/SUM($K$6:$K$337),0)</x:f>
        <x:v>0</x:v>
      </x:c>
      <x:c r="M220" s="8" t="n">
        <x:f>I220+L220</x:f>
        <x:v>33604.119999999995</x:v>
      </x:c>
      <x:c r="N220" s="8" t="n">
        <x:v>0</x:v>
      </x:c>
      <x:c r="O220" s="8" t="n">
        <x:f>N220*'Resumen'!$B$8</x:f>
        <x:v>0</x:v>
      </x:c>
      <x:c r="P220" s="8" t="n">
        <x:f>M220+O220</x:f>
        <x:v>33604.119999999995</x:v>
      </x:c>
      <x:c r="Q220" s="8" t="n">
        <x:f>P220-H220</x:f>
        <x:v>4713.949999999997</x:v>
      </x:c>
      <x:c r="R220" s="8" t="n">
        <x:v>0</x:v>
      </x:c>
      <x:c r="S220" s="8" t="n">
        <x:f>R220*'Resumen'!$B$8</x:f>
        <x:v>0</x:v>
      </x:c>
      <x:c r="T220" s="8" t="n">
        <x:f>M220+S220</x:f>
        <x:v>33604.119999999995</x:v>
      </x:c>
      <x:c r="U220" s="8" t="n">
        <x:f>T220-H220</x:f>
        <x:v>4713.949999999997</x:v>
      </x:c>
      <x:c r="V220" s="27" t="n">
        <x:v>0</x:v>
      </x:c>
    </x:row>
    <x:row r="221">
      <x:c r="A221" s="28" t="str">
        <x:v>735275</x:v>
      </x:c>
      <x:c r="B221" s="25" t="n">
        <x:v>9</x:v>
      </x:c>
      <x:c r="C221" s="25" t="n">
        <x:v>7982</x:v>
      </x:c>
      <x:c r="D221" s="25" t="n">
        <x:f>IF(B221=0,0,C221/B221)</x:f>
        <x:v>886.8888888888889</x:v>
      </x:c>
      <x:c r="E221" s="26" t="n">
        <x:f>IF(D221=0,0,D221/MAX($D$6:$D$337))</x:f>
        <x:v>0.634528027618788</x:v>
      </x:c>
      <x:c r="F221" s="26" t="n">
        <x:f>IF(B221=0,0,B221/MAX($B$6:$B$337))</x:f>
        <x:v>0.32142857142857145</x:v>
      </x:c>
      <x:c r="G221" s="26" t="n">
        <x:f>'Resumen'!$B$9*E221+'Resumen'!$B$10*F221</x:f>
        <x:v>0.540598190761723</x:v>
      </x:c>
      <x:c r="H221" s="8" t="n">
        <x:v>66442.68000000001</x:v>
      </x:c>
      <x:c r="I221" s="8" t="n">
        <x:v>54630.58000000001</x:v>
      </x:c>
      <x:c r="J221" s="8" t="n">
        <x:f>MAX(H221-I221,0)</x:f>
        <x:v>11812.099999999999</x:v>
      </x:c>
      <x:c r="K221" s="8" t="n">
        <x:f>J221*G221</x:f>
        <x:v>6385.5998890965475</x:v>
      </x:c>
      <x:c r="L221" s="8" t="n">
        <x:f>IFERROR('Resumen'!$B$14*K221/SUM($K$6:$K$337),0)</x:f>
        <x:v>4625.272204913875</x:v>
      </x:c>
      <x:c r="M221" s="8" t="n">
        <x:f>I221+L221</x:f>
        <x:v>59255.852204913885</x:v>
      </x:c>
      <x:c r="N221" s="8" t="n">
        <x:v>0</x:v>
      </x:c>
      <x:c r="O221" s="8" t="n">
        <x:f>N221*'Resumen'!$B$8</x:f>
        <x:v>0</x:v>
      </x:c>
      <x:c r="P221" s="8" t="n">
        <x:f>M221+O221</x:f>
        <x:v>59255.852204913885</x:v>
      </x:c>
      <x:c r="Q221" s="8" t="n">
        <x:f>P221-H221</x:f>
        <x:v>-7186.827795086123</x:v>
      </x:c>
      <x:c r="R221" s="8" t="n">
        <x:v>0</x:v>
      </x:c>
      <x:c r="S221" s="8" t="n">
        <x:f>R221*'Resumen'!$B$8</x:f>
        <x:v>0</x:v>
      </x:c>
      <x:c r="T221" s="8" t="n">
        <x:f>M221+S221</x:f>
        <x:v>59255.852204913885</x:v>
      </x:c>
      <x:c r="U221" s="8" t="n">
        <x:f>T221-H221</x:f>
        <x:v>-7186.827795086123</x:v>
      </x:c>
      <x:c r="V221" s="27" t="n">
        <x:v>0</x:v>
      </x:c>
    </x:row>
    <x:row r="222">
      <x:c r="A222" s="28" t="str">
        <x:v>735496</x:v>
      </x:c>
      <x:c r="B222" s="25" t="n">
        <x:v>17</x:v>
      </x:c>
      <x:c r="C222" s="25" t="n">
        <x:v>11605</x:v>
      </x:c>
      <x:c r="D222" s="25" t="n">
        <x:f>IF(B222=0,0,C222/B222)</x:f>
        <x:v>682.6470588235294</x:v>
      </x:c>
      <x:c r="E222" s="26" t="n">
        <x:f>IF(D222=0,0,D222/MAX($D$6:$D$337))</x:f>
        <x:v>0.48840243374537057</x:v>
      </x:c>
      <x:c r="F222" s="26" t="n">
        <x:f>IF(B222=0,0,B222/MAX($B$6:$B$337))</x:f>
        <x:v>0.6071428571428571</x:v>
      </x:c>
      <x:c r="G222" s="26" t="n">
        <x:f>'Resumen'!$B$9*E222+'Resumen'!$B$10*F222</x:f>
        <x:v>0.5240245607646166</x:v>
      </x:c>
      <x:c r="H222" s="8" t="n">
        <x:v>25144.69</x:v>
      </x:c>
      <x:c r="I222" s="8" t="n">
        <x:v>106488.52</x:v>
      </x:c>
      <x:c r="J222" s="8" t="n">
        <x:f>MAX(H222-I222,0)</x:f>
        <x:v>0</x:v>
      </x:c>
      <x:c r="K222" s="8" t="n">
        <x:f>J222*G222</x:f>
        <x:v>0</x:v>
      </x:c>
      <x:c r="L222" s="8" t="n">
        <x:f>IFERROR('Resumen'!$B$14*K222/SUM($K$6:$K$337),0)</x:f>
        <x:v>0</x:v>
      </x:c>
      <x:c r="M222" s="8" t="n">
        <x:f>I222+L222</x:f>
        <x:v>106488.52</x:v>
      </x:c>
      <x:c r="N222" s="8" t="n">
        <x:v>0</x:v>
      </x:c>
      <x:c r="O222" s="8" t="n">
        <x:f>N222*'Resumen'!$B$8</x:f>
        <x:v>0</x:v>
      </x:c>
      <x:c r="P222" s="8" t="n">
        <x:f>M222+O222</x:f>
        <x:v>106488.52</x:v>
      </x:c>
      <x:c r="Q222" s="8" t="n">
        <x:f>P222-H222</x:f>
        <x:v>81343.83</x:v>
      </x:c>
      <x:c r="R222" s="8" t="n">
        <x:v>0</x:v>
      </x:c>
      <x:c r="S222" s="8" t="n">
        <x:f>R222*'Resumen'!$B$8</x:f>
        <x:v>0</x:v>
      </x:c>
      <x:c r="T222" s="8" t="n">
        <x:f>M222+S222</x:f>
        <x:v>106488.52</x:v>
      </x:c>
      <x:c r="U222" s="8" t="n">
        <x:f>T222-H222</x:f>
        <x:v>81343.83</x:v>
      </x:c>
      <x:c r="V222" s="27" t="n">
        <x:v>0</x:v>
      </x:c>
    </x:row>
    <x:row r="223">
      <x:c r="A223" s="28" t="str">
        <x:v>735497</x:v>
      </x:c>
      <x:c r="B223" s="25" t="n">
        <x:v>17</x:v>
      </x:c>
      <x:c r="C223" s="25" t="n">
        <x:v>9311</x:v>
      </x:c>
      <x:c r="D223" s="25" t="n">
        <x:f>IF(B223=0,0,C223/B223)</x:f>
        <x:v>547.7058823529412</x:v>
      </x:c>
      <x:c r="E223" s="26" t="n">
        <x:f>IF(D223=0,0,D223/MAX($D$6:$D$337))</x:f>
        <x:v>0.39185825597614354</x:v>
      </x:c>
      <x:c r="F223" s="26" t="n">
        <x:f>IF(B223=0,0,B223/MAX($B$6:$B$337))</x:f>
        <x:v>0.6071428571428571</x:v>
      </x:c>
      <x:c r="G223" s="26" t="n">
        <x:f>'Resumen'!$B$9*E223+'Resumen'!$B$10*F223</x:f>
        <x:v>0.4564436363261576</x:v>
      </x:c>
      <x:c r="H223" s="8" t="n">
        <x:v>9623.04</x:v>
      </x:c>
      <x:c r="I223" s="8" t="n">
        <x:v>79672.18999999999</x:v>
      </x:c>
      <x:c r="J223" s="8" t="n">
        <x:f>MAX(H223-I223,0)</x:f>
        <x:v>0</x:v>
      </x:c>
      <x:c r="K223" s="8" t="n">
        <x:f>J223*G223</x:f>
        <x:v>0</x:v>
      </x:c>
      <x:c r="L223" s="8" t="n">
        <x:f>IFERROR('Resumen'!$B$14*K223/SUM($K$6:$K$337),0)</x:f>
        <x:v>0</x:v>
      </x:c>
      <x:c r="M223" s="8" t="n">
        <x:f>I223+L223</x:f>
        <x:v>79672.18999999999</x:v>
      </x:c>
      <x:c r="N223" s="8" t="n">
        <x:v>0</x:v>
      </x:c>
      <x:c r="O223" s="8" t="n">
        <x:f>N223*'Resumen'!$B$8</x:f>
        <x:v>0</x:v>
      </x:c>
      <x:c r="P223" s="8" t="n">
        <x:f>M223+O223</x:f>
        <x:v>79672.18999999999</x:v>
      </x:c>
      <x:c r="Q223" s="8" t="n">
        <x:f>P223-H223</x:f>
        <x:v>70049.15</x:v>
      </x:c>
      <x:c r="R223" s="8" t="n">
        <x:v>0</x:v>
      </x:c>
      <x:c r="S223" s="8" t="n">
        <x:f>R223*'Resumen'!$B$8</x:f>
        <x:v>0</x:v>
      </x:c>
      <x:c r="T223" s="8" t="n">
        <x:f>M223+S223</x:f>
        <x:v>79672.18999999999</x:v>
      </x:c>
      <x:c r="U223" s="8" t="n">
        <x:f>T223-H223</x:f>
        <x:v>70049.15</x:v>
      </x:c>
      <x:c r="V223" s="27" t="n">
        <x:v>0</x:v>
      </x:c>
    </x:row>
    <x:row r="224">
      <x:c r="A224" s="28" t="str">
        <x:v>735499</x:v>
      </x:c>
      <x:c r="B224" s="25" t="n">
        <x:v>4</x:v>
      </x:c>
      <x:c r="C224" s="25" t="n">
        <x:v>2277</x:v>
      </x:c>
      <x:c r="D224" s="25" t="n">
        <x:f>IF(B224=0,0,C224/B224)</x:f>
        <x:v>569.25</x:v>
      </x:c>
      <x:c r="E224" s="26" t="n">
        <x:f>IF(D224=0,0,D224/MAX($D$6:$D$337))</x:f>
        <x:v>0.40727207686017985</x:v>
      </x:c>
      <x:c r="F224" s="26" t="n">
        <x:f>IF(B224=0,0,B224/MAX($B$6:$B$337))</x:f>
        <x:v>0.14285714285714285</x:v>
      </x:c>
      <x:c r="G224" s="26" t="n">
        <x:f>'Resumen'!$B$9*E224+'Resumen'!$B$10*F224</x:f>
        <x:v>0.32794759665926876</x:v>
      </x:c>
      <x:c r="H224" s="8" t="n">
        <x:v>0</x:v>
      </x:c>
      <x:c r="I224" s="8" t="n">
        <x:v>19355.170000000002</x:v>
      </x:c>
      <x:c r="J224" s="8" t="n">
        <x:f>MAX(H224-I224,0)</x:f>
        <x:v>0</x:v>
      </x:c>
      <x:c r="K224" s="8" t="n">
        <x:f>J224*G224</x:f>
        <x:v>0</x:v>
      </x:c>
      <x:c r="L224" s="8" t="n">
        <x:f>IFERROR('Resumen'!$B$14*K224/SUM($K$6:$K$337),0)</x:f>
        <x:v>0</x:v>
      </x:c>
      <x:c r="M224" s="8" t="n">
        <x:f>I224+L224</x:f>
        <x:v>19355.170000000002</x:v>
      </x:c>
      <x:c r="N224" s="8" t="n">
        <x:v>0</x:v>
      </x:c>
      <x:c r="O224" s="8" t="n">
        <x:f>N224*'Resumen'!$B$8</x:f>
        <x:v>0</x:v>
      </x:c>
      <x:c r="P224" s="8" t="n">
        <x:f>M224+O224</x:f>
        <x:v>19355.170000000002</x:v>
      </x:c>
      <x:c r="Q224" s="8" t="n">
        <x:f>P224-H224</x:f>
        <x:v>19355.170000000002</x:v>
      </x:c>
      <x:c r="R224" s="8" t="n">
        <x:v>0</x:v>
      </x:c>
      <x:c r="S224" s="8" t="n">
        <x:f>R224*'Resumen'!$B$8</x:f>
        <x:v>0</x:v>
      </x:c>
      <x:c r="T224" s="8" t="n">
        <x:f>M224+S224</x:f>
        <x:v>19355.170000000002</x:v>
      </x:c>
      <x:c r="U224" s="8" t="n">
        <x:f>T224-H224</x:f>
        <x:v>19355.170000000002</x:v>
      </x:c>
      <x:c r="V224" s="27" t="n">
        <x:v>0</x:v>
      </x:c>
    </x:row>
    <x:row r="225">
      <x:c r="A225" s="28" t="str">
        <x:v>735501</x:v>
      </x:c>
      <x:c r="B225" s="25" t="n">
        <x:v>9</x:v>
      </x:c>
      <x:c r="C225" s="25" t="n">
        <x:v>3266</x:v>
      </x:c>
      <x:c r="D225" s="25" t="n">
        <x:f>IF(B225=0,0,C225/B225)</x:f>
        <x:v>362.8888888888889</x:v>
      </x:c>
      <x:c r="E225" s="26" t="n">
        <x:f>IF(D225=0,0,D225/MAX($D$6:$D$337))</x:f>
        <x:v>0.25963023530480606</x:v>
      </x:c>
      <x:c r="F225" s="26" t="n">
        <x:f>IF(B225=0,0,B225/MAX($B$6:$B$337))</x:f>
        <x:v>0.32142857142857145</x:v>
      </x:c>
      <x:c r="G225" s="26" t="n">
        <x:f>'Resumen'!$B$9*E225+'Resumen'!$B$10*F225</x:f>
        <x:v>0.2781697361419357</x:v>
      </x:c>
      <x:c r="H225" s="8" t="n">
        <x:v>0</x:v>
      </x:c>
      <x:c r="I225" s="8" t="n">
        <x:v>7686.490000000001</x:v>
      </x:c>
      <x:c r="J225" s="8" t="n">
        <x:f>MAX(H225-I225,0)</x:f>
        <x:v>0</x:v>
      </x:c>
      <x:c r="K225" s="8" t="n">
        <x:f>J225*G225</x:f>
        <x:v>0</x:v>
      </x:c>
      <x:c r="L225" s="8" t="n">
        <x:f>IFERROR('Resumen'!$B$14*K225/SUM($K$6:$K$337),0)</x:f>
        <x:v>0</x:v>
      </x:c>
      <x:c r="M225" s="8" t="n">
        <x:f>I225+L225</x:f>
        <x:v>7686.490000000001</x:v>
      </x:c>
      <x:c r="N225" s="8" t="n">
        <x:v>0</x:v>
      </x:c>
      <x:c r="O225" s="8" t="n">
        <x:f>N225*'Resumen'!$B$8</x:f>
        <x:v>0</x:v>
      </x:c>
      <x:c r="P225" s="8" t="n">
        <x:f>M225+O225</x:f>
        <x:v>7686.490000000001</x:v>
      </x:c>
      <x:c r="Q225" s="8" t="n">
        <x:f>P225-H225</x:f>
        <x:v>7686.490000000001</x:v>
      </x:c>
      <x:c r="R225" s="8" t="n">
        <x:v>0</x:v>
      </x:c>
      <x:c r="S225" s="8" t="n">
        <x:f>R225*'Resumen'!$B$8</x:f>
        <x:v>0</x:v>
      </x:c>
      <x:c r="T225" s="8" t="n">
        <x:f>M225+S225</x:f>
        <x:v>7686.490000000001</x:v>
      </x:c>
      <x:c r="U225" s="8" t="n">
        <x:f>T225-H225</x:f>
        <x:v>7686.490000000001</x:v>
      </x:c>
      <x:c r="V225" s="27" t="n">
        <x:v>0</x:v>
      </x:c>
    </x:row>
    <x:row r="226">
      <x:c r="A226" s="28" t="str">
        <x:v>193090</x:v>
      </x:c>
      <x:c r="B226" s="25" t="n">
        <x:v>11</x:v>
      </x:c>
      <x:c r="C226" s="25" t="n">
        <x:v>5360</x:v>
      </x:c>
      <x:c r="D226" s="25" t="n">
        <x:f>IF(B226=0,0,C226/B226)</x:f>
        <x:v>487.27272727272725</x:v>
      </x:c>
      <x:c r="E226" s="26" t="n">
        <x:f>IF(D226=0,0,D226/MAX($D$6:$D$337))</x:f>
        <x:v>0.3486211253995391</x:v>
      </x:c>
      <x:c r="F226" s="26" t="n">
        <x:f>IF(B226=0,0,B226/MAX($B$6:$B$337))</x:f>
        <x:v>0.39285714285714285</x:v>
      </x:c>
      <x:c r="G226" s="26" t="n">
        <x:f>'Resumen'!$B$9*E226+'Resumen'!$B$10*F226</x:f>
        <x:v>0.36189193063682024</x:v>
      </x:c>
      <x:c r="H226" s="8" t="n">
        <x:v>4811.52</x:v>
      </x:c>
      <x:c r="I226" s="8" t="n">
        <x:v>35182.78999999999</x:v>
      </x:c>
      <x:c r="J226" s="8" t="n">
        <x:f>MAX(H226-I226,0)</x:f>
        <x:v>0</x:v>
      </x:c>
      <x:c r="K226" s="8" t="n">
        <x:f>J226*G226</x:f>
        <x:v>0</x:v>
      </x:c>
      <x:c r="L226" s="8" t="n">
        <x:f>IFERROR('Resumen'!$B$14*K226/SUM($K$6:$K$337),0)</x:f>
        <x:v>0</x:v>
      </x:c>
      <x:c r="M226" s="8" t="n">
        <x:f>I226+L226</x:f>
        <x:v>35182.78999999999</x:v>
      </x:c>
      <x:c r="N226" s="8" t="n">
        <x:v>0</x:v>
      </x:c>
      <x:c r="O226" s="8" t="n">
        <x:f>N226*'Resumen'!$B$8</x:f>
        <x:v>0</x:v>
      </x:c>
      <x:c r="P226" s="8" t="n">
        <x:f>M226+O226</x:f>
        <x:v>35182.78999999999</x:v>
      </x:c>
      <x:c r="Q226" s="8" t="n">
        <x:f>P226-H226</x:f>
        <x:v>30371.269999999993</x:v>
      </x:c>
      <x:c r="R226" s="8" t="n">
        <x:v>0</x:v>
      </x:c>
      <x:c r="S226" s="8" t="n">
        <x:f>R226*'Resumen'!$B$8</x:f>
        <x:v>0</x:v>
      </x:c>
      <x:c r="T226" s="8" t="n">
        <x:f>M226+S226</x:f>
        <x:v>35182.78999999999</x:v>
      </x:c>
      <x:c r="U226" s="8" t="n">
        <x:f>T226-H226</x:f>
        <x:v>30371.269999999993</x:v>
      </x:c>
      <x:c r="V226" s="27" t="n">
        <x:v>0</x:v>
      </x:c>
    </x:row>
    <x:row r="227">
      <x:c r="A227" s="28" t="str">
        <x:v>206121</x:v>
      </x:c>
      <x:c r="B227" s="25" t="n">
        <x:v>15</x:v>
      </x:c>
      <x:c r="C227" s="25" t="n">
        <x:v>12585</x:v>
      </x:c>
      <x:c r="D227" s="25" t="n">
        <x:f>IF(B227=0,0,C227/B227)</x:f>
        <x:v>839</x:v>
      </x:c>
      <x:c r="E227" s="26" t="n">
        <x:f>IF(D227=0,0,D227/MAX($D$6:$D$337))</x:f>
        <x:v>0.6002657399836467</x:v>
      </x:c>
      <x:c r="F227" s="26" t="n">
        <x:f>IF(B227=0,0,B227/MAX($B$6:$B$337))</x:f>
        <x:v>0.5357142857142857</x:v>
      </x:c>
      <x:c r="G227" s="26" t="n">
        <x:f>'Resumen'!$B$9*E227+'Resumen'!$B$10*F227</x:f>
        <x:v>0.5809003037028384</x:v>
      </x:c>
      <x:c r="H227" s="8" t="n">
        <x:v>114899.57</x:v>
      </x:c>
      <x:c r="I227" s="8" t="n">
        <x:v>95084.59999999999</x:v>
      </x:c>
      <x:c r="J227" s="8" t="n">
        <x:f>MAX(H227-I227,0)</x:f>
        <x:v>19814.970000000016</x:v>
      </x:c>
      <x:c r="K227" s="8" t="n">
        <x:f>J227*G227</x:f>
        <x:v>11510.522090862642</x:v>
      </x:c>
      <x:c r="L227" s="8" t="n">
        <x:f>IFERROR('Resumen'!$B$14*K227/SUM($K$6:$K$337),0)</x:f>
        <x:v>8337.399589006594</x:v>
      </x:c>
      <x:c r="M227" s="8" t="n">
        <x:f>I227+L227</x:f>
        <x:v>103421.99958900659</x:v>
      </x:c>
      <x:c r="N227" s="8" t="n">
        <x:v>0</x:v>
      </x:c>
      <x:c r="O227" s="8" t="n">
        <x:f>N227*'Resumen'!$B$8</x:f>
        <x:v>0</x:v>
      </x:c>
      <x:c r="P227" s="8" t="n">
        <x:f>M227+O227</x:f>
        <x:v>103421.99958900659</x:v>
      </x:c>
      <x:c r="Q227" s="8" t="n">
        <x:f>P227-H227</x:f>
        <x:v>-11477.570410993416</x:v>
      </x:c>
      <x:c r="R227" s="8" t="n">
        <x:v>0</x:v>
      </x:c>
      <x:c r="S227" s="8" t="n">
        <x:f>R227*'Resumen'!$B$8</x:f>
        <x:v>0</x:v>
      </x:c>
      <x:c r="T227" s="8" t="n">
        <x:f>M227+S227</x:f>
        <x:v>103421.99958900659</x:v>
      </x:c>
      <x:c r="U227" s="8" t="n">
        <x:f>T227-H227</x:f>
        <x:v>-11477.570410993416</x:v>
      </x:c>
      <x:c r="V227" s="27" t="n">
        <x:v>0</x:v>
      </x:c>
    </x:row>
    <x:row r="228">
      <x:c r="A228" s="28" t="str">
        <x:v>734480</x:v>
      </x:c>
      <x:c r="B228" s="25" t="n">
        <x:v>1</x:v>
      </x:c>
      <x:c r="C228" s="25" t="n">
        <x:v>486</x:v>
      </x:c>
      <x:c r="D228" s="25" t="n">
        <x:f>IF(B228=0,0,C228/B228)</x:f>
        <x:v>486</x:v>
      </x:c>
      <x:c r="E228" s="26" t="n">
        <x:f>IF(D228=0,0,D228/MAX($D$6:$D$337))</x:f>
        <x:v>0.34771054783319705</x:v>
      </x:c>
      <x:c r="F228" s="26" t="n">
        <x:f>IF(B228=0,0,B228/MAX($B$6:$B$337))</x:f>
        <x:v>0.03571428571428571</x:v>
      </x:c>
      <x:c r="G228" s="26" t="n">
        <x:f>'Resumen'!$B$9*E228+'Resumen'!$B$10*F228</x:f>
        <x:v>0.25411166919752365</x:v>
      </x:c>
      <x:c r="H228" s="8" t="n">
        <x:v>3304.01</x:v>
      </x:c>
      <x:c r="I228" s="8" t="n">
        <x:v>3210.79</x:v>
      </x:c>
      <x:c r="J228" s="8" t="n">
        <x:f>MAX(H228-I228,0)</x:f>
        <x:v>93.22000000000025</x:v>
      </x:c>
      <x:c r="K228" s="8" t="n">
        <x:f>J228*G228</x:f>
        <x:v>23.688289802593218</x:v>
      </x:c>
      <x:c r="L228" s="8" t="n">
        <x:f>IFERROR('Resumen'!$B$14*K228/SUM($K$6:$K$337),0)</x:f>
        <x:v>17.158104220241196</x:v>
      </x:c>
      <x:c r="M228" s="8" t="n">
        <x:f>I228+L228</x:f>
        <x:v>3227.948104220241</x:v>
      </x:c>
      <x:c r="N228" s="8" t="n">
        <x:v>0</x:v>
      </x:c>
      <x:c r="O228" s="8" t="n">
        <x:f>N228*'Resumen'!$B$8</x:f>
        <x:v>0</x:v>
      </x:c>
      <x:c r="P228" s="8" t="n">
        <x:f>M228+O228</x:f>
        <x:v>3227.948104220241</x:v>
      </x:c>
      <x:c r="Q228" s="8" t="n">
        <x:f>P228-H228</x:f>
        <x:v>-76.0618957797592</x:v>
      </x:c>
      <x:c r="R228" s="8" t="n">
        <x:v>0</x:v>
      </x:c>
      <x:c r="S228" s="8" t="n">
        <x:f>R228*'Resumen'!$B$8</x:f>
        <x:v>0</x:v>
      </x:c>
      <x:c r="T228" s="8" t="n">
        <x:f>M228+S228</x:f>
        <x:v>3227.948104220241</x:v>
      </x:c>
      <x:c r="U228" s="8" t="n">
        <x:f>T228-H228</x:f>
        <x:v>-76.0618957797592</x:v>
      </x:c>
      <x:c r="V228" s="27" t="n">
        <x:v>0</x:v>
      </x:c>
    </x:row>
    <x:row r="229">
      <x:c r="A229" s="28" t="str">
        <x:v>734882</x:v>
      </x:c>
      <x:c r="B229" s="25" t="n">
        <x:v>16</x:v>
      </x:c>
      <x:c r="C229" s="25" t="n">
        <x:v>14194</x:v>
      </x:c>
      <x:c r="D229" s="25" t="n">
        <x:f>IF(B229=0,0,C229/B229)</x:f>
        <x:v>887.125</x:v>
      </x:c>
      <x:c r="E229" s="26" t="n">
        <x:f>IF(D229=0,0,D229/MAX($D$6:$D$337))</x:f>
        <x:v>0.6346969542109566</x:v>
      </x:c>
      <x:c r="F229" s="26" t="n">
        <x:f>IF(B229=0,0,B229/MAX($B$6:$B$337))</x:f>
        <x:v>0.5714285714285714</x:v>
      </x:c>
      <x:c r="G229" s="26" t="n">
        <x:f>'Resumen'!$B$9*E229+'Resumen'!$B$10*F229</x:f>
        <x:v>0.615716439376241</x:v>
      </x:c>
      <x:c r="H229" s="8" t="n">
        <x:v>143944.19999999998</x:v>
      </x:c>
      <x:c r="I229" s="8" t="n">
        <x:v>107337.18</x:v>
      </x:c>
      <x:c r="J229" s="8" t="n">
        <x:f>MAX(H229-I229,0)</x:f>
        <x:v>36607.01999999999</x:v>
      </x:c>
      <x:c r="K229" s="8" t="n">
        <x:f>J229*G229</x:f>
        <x:v>22539.544010574835</x:v>
      </x:c>
      <x:c r="L229" s="8" t="n">
        <x:f>IFERROR('Resumen'!$B$14*K229/SUM($K$6:$K$337),0)</x:f>
        <x:v>16326.034865033578</x:v>
      </x:c>
      <x:c r="M229" s="8" t="n">
        <x:f>I229+L229</x:f>
        <x:v>123663.21486503357</x:v>
      </x:c>
      <x:c r="N229" s="8" t="n">
        <x:v>0</x:v>
      </x:c>
      <x:c r="O229" s="8" t="n">
        <x:f>N229*'Resumen'!$B$8</x:f>
        <x:v>0</x:v>
      </x:c>
      <x:c r="P229" s="8" t="n">
        <x:f>M229+O229</x:f>
        <x:v>123663.21486503357</x:v>
      </x:c>
      <x:c r="Q229" s="8" t="n">
        <x:f>P229-H229</x:f>
        <x:v>-20280.98513496641</x:v>
      </x:c>
      <x:c r="R229" s="8" t="n">
        <x:v>0</x:v>
      </x:c>
      <x:c r="S229" s="8" t="n">
        <x:f>R229*'Resumen'!$B$8</x:f>
        <x:v>0</x:v>
      </x:c>
      <x:c r="T229" s="8" t="n">
        <x:f>M229+S229</x:f>
        <x:v>123663.21486503357</x:v>
      </x:c>
      <x:c r="U229" s="8" t="n">
        <x:f>T229-H229</x:f>
        <x:v>-20280.98513496641</x:v>
      </x:c>
      <x:c r="V229" s="27" t="n">
        <x:v>0</x:v>
      </x:c>
    </x:row>
    <x:row r="230">
      <x:c r="A230" s="28" t="str">
        <x:v>734883</x:v>
      </x:c>
      <x:c r="B230" s="25" t="n">
        <x:v>14</x:v>
      </x:c>
      <x:c r="C230" s="25" t="n">
        <x:v>7679</x:v>
      </x:c>
      <x:c r="D230" s="25" t="n">
        <x:f>IF(B230=0,0,C230/B230)</x:f>
        <x:v>548.5</x:v>
      </x:c>
      <x:c r="E230" s="26" t="n">
        <x:f>IF(D230=0,0,D230/MAX($D$6:$D$337))</x:f>
        <x:v>0.392426410466067</x:v>
      </x:c>
      <x:c r="F230" s="26" t="n">
        <x:f>IF(B230=0,0,B230/MAX($B$6:$B$337))</x:f>
        <x:v>0.5</x:v>
      </x:c>
      <x:c r="G230" s="26" t="n">
        <x:f>'Resumen'!$B$9*E230+'Resumen'!$B$10*F230</x:f>
        <x:v>0.42469848732624693</x:v>
      </x:c>
      <x:c r="H230" s="8" t="n">
        <x:v>27433.93</x:v>
      </x:c>
      <x:c r="I230" s="8" t="n">
        <x:v>40512.37</x:v>
      </x:c>
      <x:c r="J230" s="8" t="n">
        <x:f>MAX(H230-I230,0)</x:f>
        <x:v>0</x:v>
      </x:c>
      <x:c r="K230" s="8" t="n">
        <x:f>J230*G230</x:f>
        <x:v>0</x:v>
      </x:c>
      <x:c r="L230" s="8" t="n">
        <x:f>IFERROR('Resumen'!$B$14*K230/SUM($K$6:$K$337),0)</x:f>
        <x:v>0</x:v>
      </x:c>
      <x:c r="M230" s="8" t="n">
        <x:f>I230+L230</x:f>
        <x:v>40512.37</x:v>
      </x:c>
      <x:c r="N230" s="8" t="n">
        <x:v>0</x:v>
      </x:c>
      <x:c r="O230" s="8" t="n">
        <x:f>N230*'Resumen'!$B$8</x:f>
        <x:v>0</x:v>
      </x:c>
      <x:c r="P230" s="8" t="n">
        <x:f>M230+O230</x:f>
        <x:v>40512.37</x:v>
      </x:c>
      <x:c r="Q230" s="8" t="n">
        <x:f>P230-H230</x:f>
        <x:v>13078.440000000002</x:v>
      </x:c>
      <x:c r="R230" s="8" t="n">
        <x:v>0</x:v>
      </x:c>
      <x:c r="S230" s="8" t="n">
        <x:f>R230*'Resumen'!$B$8</x:f>
        <x:v>0</x:v>
      </x:c>
      <x:c r="T230" s="8" t="n">
        <x:f>M230+S230</x:f>
        <x:v>40512.37</x:v>
      </x:c>
      <x:c r="U230" s="8" t="n">
        <x:f>T230-H230</x:f>
        <x:v>13078.440000000002</x:v>
      </x:c>
      <x:c r="V230" s="27" t="n">
        <x:v>0</x:v>
      </x:c>
    </x:row>
    <x:row r="231">
      <x:c r="A231" s="28" t="str">
        <x:v>734930</x:v>
      </x:c>
      <x:c r="B231" s="25" t="n">
        <x:v>2</x:v>
      </x:c>
      <x:c r="C231" s="25" t="n">
        <x:v>812</x:v>
      </x:c>
      <x:c r="D231" s="25" t="n">
        <x:f>IF(B231=0,0,C231/B231)</x:f>
        <x:v>406</x:v>
      </x:c>
      <x:c r="E231" s="26" t="n">
        <x:f>IF(D231=0,0,D231/MAX($D$6:$D$337))</x:f>
        <x:v>0.29047424366312347</x:v>
      </x:c>
      <x:c r="F231" s="26" t="n">
        <x:f>IF(B231=0,0,B231/MAX($B$6:$B$337))</x:f>
        <x:v>0.07142857142857142</x:v>
      </x:c>
      <x:c r="G231" s="26" t="n">
        <x:f>'Resumen'!$B$9*E231+'Resumen'!$B$10*F231</x:f>
        <x:v>0.22476054199275786</x:v>
      </x:c>
      <x:c r="H231" s="8" t="n">
        <x:v>0</x:v>
      </x:c>
      <x:c r="I231" s="8" t="n">
        <x:v>2467.5699999999997</x:v>
      </x:c>
      <x:c r="J231" s="8" t="n">
        <x:f>MAX(H231-I231,0)</x:f>
        <x:v>0</x:v>
      </x:c>
      <x:c r="K231" s="8" t="n">
        <x:f>J231*G231</x:f>
        <x:v>0</x:v>
      </x:c>
      <x:c r="L231" s="8" t="n">
        <x:f>IFERROR('Resumen'!$B$14*K231/SUM($K$6:$K$337),0)</x:f>
        <x:v>0</x:v>
      </x:c>
      <x:c r="M231" s="8" t="n">
        <x:f>I231+L231</x:f>
        <x:v>2467.5699999999997</x:v>
      </x:c>
      <x:c r="N231" s="8" t="n">
        <x:v>0</x:v>
      </x:c>
      <x:c r="O231" s="8" t="n">
        <x:f>N231*'Resumen'!$B$8</x:f>
        <x:v>0</x:v>
      </x:c>
      <x:c r="P231" s="8" t="n">
        <x:f>M231+O231</x:f>
        <x:v>2467.5699999999997</x:v>
      </x:c>
      <x:c r="Q231" s="8" t="n">
        <x:f>P231-H231</x:f>
        <x:v>2467.5699999999997</x:v>
      </x:c>
      <x:c r="R231" s="8" t="n">
        <x:v>0</x:v>
      </x:c>
      <x:c r="S231" s="8" t="n">
        <x:f>R231*'Resumen'!$B$8</x:f>
        <x:v>0</x:v>
      </x:c>
      <x:c r="T231" s="8" t="n">
        <x:f>M231+S231</x:f>
        <x:v>2467.5699999999997</x:v>
      </x:c>
      <x:c r="U231" s="8" t="n">
        <x:f>T231-H231</x:f>
        <x:v>2467.5699999999997</x:v>
      </x:c>
      <x:c r="V231" s="27" t="n">
        <x:v>0</x:v>
      </x:c>
    </x:row>
    <x:row r="232">
      <x:c r="A232" s="28" t="str">
        <x:v>734937</x:v>
      </x:c>
      <x:c r="B232" s="25" t="n">
        <x:v>11</x:v>
      </x:c>
      <x:c r="C232" s="25" t="n">
        <x:v>7657</x:v>
      </x:c>
      <x:c r="D232" s="25" t="n">
        <x:f>IF(B232=0,0,C232/B232)</x:f>
        <x:v>696.0909090909091</x:v>
      </x:c>
      <x:c r="E232" s="26" t="n">
        <x:f>IF(D232=0,0,D232/MAX($D$6:$D$337))</x:f>
        <x:v>0.49802088753437895</x:v>
      </x:c>
      <x:c r="F232" s="26" t="n">
        <x:f>IF(B232=0,0,B232/MAX($B$6:$B$337))</x:f>
        <x:v>0.39285714285714285</x:v>
      </x:c>
      <x:c r="G232" s="26" t="n">
        <x:f>'Resumen'!$B$9*E232+'Resumen'!$B$10*F232</x:f>
        <x:v>0.46647176413120806</x:v>
      </x:c>
      <x:c r="H232" s="8" t="n">
        <x:v>62196.14</x:v>
      </x:c>
      <x:c r="I232" s="8" t="n">
        <x:v>57200.5</x:v>
      </x:c>
      <x:c r="J232" s="8" t="n">
        <x:f>MAX(H232-I232,0)</x:f>
        <x:v>4995.639999999999</x:v>
      </x:c>
      <x:c r="K232" s="8" t="n">
        <x:f>J232*G232</x:f>
        <x:v>2330.325003764428</x:v>
      </x:c>
      <x:c r="L232" s="8" t="n">
        <x:f>IFERROR('Resumen'!$B$14*K232/SUM($K$6:$K$337),0)</x:f>
        <x:v>1687.9208931852422</x:v>
      </x:c>
      <x:c r="M232" s="8" t="n">
        <x:f>I232+L232</x:f>
        <x:v>58888.42089318524</x:v>
      </x:c>
      <x:c r="N232" s="8" t="n">
        <x:v>0</x:v>
      </x:c>
      <x:c r="O232" s="8" t="n">
        <x:f>N232*'Resumen'!$B$8</x:f>
        <x:v>0</x:v>
      </x:c>
      <x:c r="P232" s="8" t="n">
        <x:f>M232+O232</x:f>
        <x:v>58888.42089318524</x:v>
      </x:c>
      <x:c r="Q232" s="8" t="n">
        <x:f>P232-H232</x:f>
        <x:v>-3307.7191068147586</x:v>
      </x:c>
      <x:c r="R232" s="8" t="n">
        <x:v>0</x:v>
      </x:c>
      <x:c r="S232" s="8" t="n">
        <x:f>R232*'Resumen'!$B$8</x:f>
        <x:v>0</x:v>
      </x:c>
      <x:c r="T232" s="8" t="n">
        <x:f>M232+S232</x:f>
        <x:v>58888.42089318524</x:v>
      </x:c>
      <x:c r="U232" s="8" t="n">
        <x:f>T232-H232</x:f>
        <x:v>-3307.7191068147586</x:v>
      </x:c>
      <x:c r="V232" s="27" t="n">
        <x:v>0</x:v>
      </x:c>
    </x:row>
    <x:row r="233">
      <x:c r="A233" s="28" t="str">
        <x:v>735190</x:v>
      </x:c>
      <x:c r="B233" s="25" t="n">
        <x:v>8</x:v>
      </x:c>
      <x:c r="C233" s="25" t="n">
        <x:v>5387</x:v>
      </x:c>
      <x:c r="D233" s="25" t="n">
        <x:f>IF(B233=0,0,C233/B233)</x:f>
        <x:v>673.375</x:v>
      </x:c>
      <x:c r="E233" s="26" t="n">
        <x:f>IF(D233=0,0,D233/MAX($D$6:$D$337))</x:f>
        <x:v>0.48176870400654126</x:v>
      </x:c>
      <x:c r="F233" s="26" t="n">
        <x:f>IF(B233=0,0,B233/MAX($B$6:$B$337))</x:f>
        <x:v>0.2857142857142857</x:v>
      </x:c>
      <x:c r="G233" s="26" t="n">
        <x:f>'Resumen'!$B$9*E233+'Resumen'!$B$10*F233</x:f>
        <x:v>0.4229523785188645</x:v>
      </x:c>
      <x:c r="H233" s="8" t="n">
        <x:v>9300.77</x:v>
      </x:c>
      <x:c r="I233" s="8" t="n">
        <x:v>52218.469999999994</x:v>
      </x:c>
      <x:c r="J233" s="8" t="n">
        <x:f>MAX(H233-I233,0)</x:f>
        <x:v>0</x:v>
      </x:c>
      <x:c r="K233" s="8" t="n">
        <x:f>J233*G233</x:f>
        <x:v>0</x:v>
      </x:c>
      <x:c r="L233" s="8" t="n">
        <x:f>IFERROR('Resumen'!$B$14*K233/SUM($K$6:$K$337),0)</x:f>
        <x:v>0</x:v>
      </x:c>
      <x:c r="M233" s="8" t="n">
        <x:f>I233+L233</x:f>
        <x:v>52218.469999999994</x:v>
      </x:c>
      <x:c r="N233" s="8" t="n">
        <x:v>0</x:v>
      </x:c>
      <x:c r="O233" s="8" t="n">
        <x:f>N233*'Resumen'!$B$8</x:f>
        <x:v>0</x:v>
      </x:c>
      <x:c r="P233" s="8" t="n">
        <x:f>M233+O233</x:f>
        <x:v>52218.469999999994</x:v>
      </x:c>
      <x:c r="Q233" s="8" t="n">
        <x:f>P233-H233</x:f>
        <x:v>42917.7</x:v>
      </x:c>
      <x:c r="R233" s="8" t="n">
        <x:v>0</x:v>
      </x:c>
      <x:c r="S233" s="8" t="n">
        <x:f>R233*'Resumen'!$B$8</x:f>
        <x:v>0</x:v>
      </x:c>
      <x:c r="T233" s="8" t="n">
        <x:f>M233+S233</x:f>
        <x:v>52218.469999999994</x:v>
      </x:c>
      <x:c r="U233" s="8" t="n">
        <x:f>T233-H233</x:f>
        <x:v>42917.7</x:v>
      </x:c>
      <x:c r="V233" s="27" t="n">
        <x:v>0</x:v>
      </x:c>
    </x:row>
    <x:row r="234">
      <x:c r="A234" s="28" t="str">
        <x:v>735191</x:v>
      </x:c>
      <x:c r="B234" s="25" t="n">
        <x:v>8</x:v>
      </x:c>
      <x:c r="C234" s="25" t="n">
        <x:v>6561</x:v>
      </x:c>
      <x:c r="D234" s="25" t="n">
        <x:f>IF(B234=0,0,C234/B234)</x:f>
        <x:v>820.125</x:v>
      </x:c>
      <x:c r="E234" s="26" t="n">
        <x:f>IF(D234=0,0,D234/MAX($D$6:$D$337))</x:f>
        <x:v>0.58676154946852</x:v>
      </x:c>
      <x:c r="F234" s="26" t="n">
        <x:f>IF(B234=0,0,B234/MAX($B$6:$B$337))</x:f>
        <x:v>0.2857142857142857</x:v>
      </x:c>
      <x:c r="G234" s="26" t="n">
        <x:f>'Resumen'!$B$9*E234+'Resumen'!$B$10*F234</x:f>
        <x:v>0.49644737034224967</x:v>
      </x:c>
      <x:c r="H234" s="8" t="n">
        <x:v>35038.47</x:v>
      </x:c>
      <x:c r="I234" s="8" t="n">
        <x:v>57643.70999999999</x:v>
      </x:c>
      <x:c r="J234" s="8" t="n">
        <x:f>MAX(H234-I234,0)</x:f>
        <x:v>0</x:v>
      </x:c>
      <x:c r="K234" s="8" t="n">
        <x:f>J234*G234</x:f>
        <x:v>0</x:v>
      </x:c>
      <x:c r="L234" s="8" t="n">
        <x:f>IFERROR('Resumen'!$B$14*K234/SUM($K$6:$K$337),0)</x:f>
        <x:v>0</x:v>
      </x:c>
      <x:c r="M234" s="8" t="n">
        <x:f>I234+L234</x:f>
        <x:v>57643.70999999999</x:v>
      </x:c>
      <x:c r="N234" s="8" t="n">
        <x:v>0</x:v>
      </x:c>
      <x:c r="O234" s="8" t="n">
        <x:f>N234*'Resumen'!$B$8</x:f>
        <x:v>0</x:v>
      </x:c>
      <x:c r="P234" s="8" t="n">
        <x:f>M234+O234</x:f>
        <x:v>57643.70999999999</x:v>
      </x:c>
      <x:c r="Q234" s="8" t="n">
        <x:f>P234-H234</x:f>
        <x:v>22605.23999999999</x:v>
      </x:c>
      <x:c r="R234" s="8" t="n">
        <x:v>0</x:v>
      </x:c>
      <x:c r="S234" s="8" t="n">
        <x:f>R234*'Resumen'!$B$8</x:f>
        <x:v>0</x:v>
      </x:c>
      <x:c r="T234" s="8" t="n">
        <x:f>M234+S234</x:f>
        <x:v>57643.70999999999</x:v>
      </x:c>
      <x:c r="U234" s="8" t="n">
        <x:f>T234-H234</x:f>
        <x:v>22605.23999999999</x:v>
      </x:c>
      <x:c r="V234" s="27" t="n">
        <x:v>0</x:v>
      </x:c>
    </x:row>
    <x:row r="235">
      <x:c r="A235" s="28" t="str">
        <x:v>735244</x:v>
      </x:c>
      <x:c r="B235" s="25" t="n">
        <x:v>9</x:v>
      </x:c>
      <x:c r="C235" s="25" t="n">
        <x:v>6976</x:v>
      </x:c>
      <x:c r="D235" s="25" t="n">
        <x:f>IF(B235=0,0,C235/B235)</x:f>
        <x:v>775.1111111111111</x:v>
      </x:c>
      <x:c r="E235" s="26" t="n">
        <x:f>IF(D235=0,0,D235/MAX($D$6:$D$337))</x:f>
        <x:v>0.5545561915144908</x:v>
      </x:c>
      <x:c r="F235" s="26" t="n">
        <x:f>IF(B235=0,0,B235/MAX($B$6:$B$337))</x:f>
        <x:v>0.32142857142857145</x:v>
      </x:c>
      <x:c r="G235" s="26" t="n">
        <x:f>'Resumen'!$B$9*E235+'Resumen'!$B$10*F235</x:f>
        <x:v>0.4846179054887149</x:v>
      </x:c>
      <x:c r="H235" s="8" t="n">
        <x:v>35254.92</x:v>
      </x:c>
      <x:c r="I235" s="8" t="n">
        <x:v>45963.48</x:v>
      </x:c>
      <x:c r="J235" s="8" t="n">
        <x:f>MAX(H235-I235,0)</x:f>
        <x:v>0</x:v>
      </x:c>
      <x:c r="K235" s="8" t="n">
        <x:f>J235*G235</x:f>
        <x:v>0</x:v>
      </x:c>
      <x:c r="L235" s="8" t="n">
        <x:f>IFERROR('Resumen'!$B$14*K235/SUM($K$6:$K$337),0)</x:f>
        <x:v>0</x:v>
      </x:c>
      <x:c r="M235" s="8" t="n">
        <x:f>I235+L235</x:f>
        <x:v>45963.48</x:v>
      </x:c>
      <x:c r="N235" s="8" t="n">
        <x:v>0</x:v>
      </x:c>
      <x:c r="O235" s="8" t="n">
        <x:f>N235*'Resumen'!$B$8</x:f>
        <x:v>0</x:v>
      </x:c>
      <x:c r="P235" s="8" t="n">
        <x:f>M235+O235</x:f>
        <x:v>45963.48</x:v>
      </x:c>
      <x:c r="Q235" s="8" t="n">
        <x:f>P235-H235</x:f>
        <x:v>10708.560000000005</x:v>
      </x:c>
      <x:c r="R235" s="8" t="n">
        <x:v>0</x:v>
      </x:c>
      <x:c r="S235" s="8" t="n">
        <x:f>R235*'Resumen'!$B$8</x:f>
        <x:v>0</x:v>
      </x:c>
      <x:c r="T235" s="8" t="n">
        <x:f>M235+S235</x:f>
        <x:v>45963.48</x:v>
      </x:c>
      <x:c r="U235" s="8" t="n">
        <x:f>T235-H235</x:f>
        <x:v>10708.560000000005</x:v>
      </x:c>
      <x:c r="V235" s="27" t="n">
        <x:v>0</x:v>
      </x:c>
    </x:row>
    <x:row r="236">
      <x:c r="A236" s="28" t="str">
        <x:v>735492</x:v>
      </x:c>
      <x:c r="B236" s="25" t="n">
        <x:v>15</x:v>
      </x:c>
      <x:c r="C236" s="25" t="n">
        <x:v>6719</x:v>
      </x:c>
      <x:c r="D236" s="25" t="n">
        <x:f>IF(B236=0,0,C236/B236)</x:f>
        <x:v>447.93333333333334</x:v>
      </x:c>
      <x:c r="E236" s="26" t="n">
        <x:f>IF(D236=0,0,D236/MAX($D$6:$D$337))</x:f>
        <x:v>0.32047560643227035</x:v>
      </x:c>
      <x:c r="F236" s="26" t="n">
        <x:f>IF(B236=0,0,B236/MAX($B$6:$B$337))</x:f>
        <x:v>0.5357142857142857</x:v>
      </x:c>
      <x:c r="G236" s="26" t="n">
        <x:f>'Resumen'!$B$9*E236+'Resumen'!$B$10*F236</x:f>
        <x:v>0.38504721021687494</x:v>
      </x:c>
      <x:c r="H236" s="8" t="n">
        <x:v>0</x:v>
      </x:c>
      <x:c r="I236" s="8" t="n">
        <x:v>72791.57</x:v>
      </x:c>
      <x:c r="J236" s="8" t="n">
        <x:f>MAX(H236-I236,0)</x:f>
        <x:v>0</x:v>
      </x:c>
      <x:c r="K236" s="8" t="n">
        <x:f>J236*G236</x:f>
        <x:v>0</x:v>
      </x:c>
      <x:c r="L236" s="8" t="n">
        <x:f>IFERROR('Resumen'!$B$14*K236/SUM($K$6:$K$337),0)</x:f>
        <x:v>0</x:v>
      </x:c>
      <x:c r="M236" s="8" t="n">
        <x:f>I236+L236</x:f>
        <x:v>72791.57</x:v>
      </x:c>
      <x:c r="N236" s="8" t="n">
        <x:v>0</x:v>
      </x:c>
      <x:c r="O236" s="8" t="n">
        <x:f>N236*'Resumen'!$B$8</x:f>
        <x:v>0</x:v>
      </x:c>
      <x:c r="P236" s="8" t="n">
        <x:f>M236+O236</x:f>
        <x:v>72791.57</x:v>
      </x:c>
      <x:c r="Q236" s="8" t="n">
        <x:f>P236-H236</x:f>
        <x:v>72791.57</x:v>
      </x:c>
      <x:c r="R236" s="8" t="n">
        <x:v>0</x:v>
      </x:c>
      <x:c r="S236" s="8" t="n">
        <x:f>R236*'Resumen'!$B$8</x:f>
        <x:v>0</x:v>
      </x:c>
      <x:c r="T236" s="8" t="n">
        <x:f>M236+S236</x:f>
        <x:v>72791.57</x:v>
      </x:c>
      <x:c r="U236" s="8" t="n">
        <x:f>T236-H236</x:f>
        <x:v>72791.57</x:v>
      </x:c>
      <x:c r="V236" s="27" t="n">
        <x:v>0</x:v>
      </x:c>
    </x:row>
    <x:row r="237">
      <x:c r="A237" s="28" t="str">
        <x:v>735493</x:v>
      </x:c>
      <x:c r="B237" s="25" t="n">
        <x:v>14</x:v>
      </x:c>
      <x:c r="C237" s="25" t="n">
        <x:v>8583</x:v>
      </x:c>
      <x:c r="D237" s="25" t="n">
        <x:f>IF(B237=0,0,C237/B237)</x:f>
        <x:v>613.0714285714286</x:v>
      </x:c>
      <x:c r="E237" s="26" t="n">
        <x:f>IF(D237=0,0,D237/MAX($D$6:$D$337))</x:f>
        <x:v>0.43862428454619784</x:v>
      </x:c>
      <x:c r="F237" s="26" t="n">
        <x:f>IF(B237=0,0,B237/MAX($B$6:$B$337))</x:f>
        <x:v>0.5</x:v>
      </x:c>
      <x:c r="G237" s="26" t="n">
        <x:f>'Resumen'!$B$9*E237+'Resumen'!$B$10*F237</x:f>
        <x:v>0.4570369991823384</x:v>
      </x:c>
      <x:c r="H237" s="8" t="n">
        <x:v>4811.52</x:v>
      </x:c>
      <x:c r="I237" s="8" t="n">
        <x:v>52977.030000000006</x:v>
      </x:c>
      <x:c r="J237" s="8" t="n">
        <x:f>MAX(H237-I237,0)</x:f>
        <x:v>0</x:v>
      </x:c>
      <x:c r="K237" s="8" t="n">
        <x:f>J237*G237</x:f>
        <x:v>0</x:v>
      </x:c>
      <x:c r="L237" s="8" t="n">
        <x:f>IFERROR('Resumen'!$B$14*K237/SUM($K$6:$K$337),0)</x:f>
        <x:v>0</x:v>
      </x:c>
      <x:c r="M237" s="8" t="n">
        <x:f>I237+L237</x:f>
        <x:v>52977.030000000006</x:v>
      </x:c>
      <x:c r="N237" s="8" t="n">
        <x:v>0</x:v>
      </x:c>
      <x:c r="O237" s="8" t="n">
        <x:f>N237*'Resumen'!$B$8</x:f>
        <x:v>0</x:v>
      </x:c>
      <x:c r="P237" s="8" t="n">
        <x:f>M237+O237</x:f>
        <x:v>52977.030000000006</x:v>
      </x:c>
      <x:c r="Q237" s="8" t="n">
        <x:f>P237-H237</x:f>
        <x:v>48165.51000000001</x:v>
      </x:c>
      <x:c r="R237" s="8" t="n">
        <x:v>0</x:v>
      </x:c>
      <x:c r="S237" s="8" t="n">
        <x:f>R237*'Resumen'!$B$8</x:f>
        <x:v>0</x:v>
      </x:c>
      <x:c r="T237" s="8" t="n">
        <x:f>M237+S237</x:f>
        <x:v>52977.030000000006</x:v>
      </x:c>
      <x:c r="U237" s="8" t="n">
        <x:f>T237-H237</x:f>
        <x:v>48165.51000000001</x:v>
      </x:c>
      <x:c r="V237" s="27" t="n">
        <x:v>0</x:v>
      </x:c>
    </x:row>
    <x:row r="238">
      <x:c r="A238" s="28" t="str">
        <x:v>735495</x:v>
      </x:c>
      <x:c r="B238" s="25" t="n">
        <x:v>17</x:v>
      </x:c>
      <x:c r="C238" s="25" t="n">
        <x:v>10414</x:v>
      </x:c>
      <x:c r="D238" s="25" t="n">
        <x:f>IF(B238=0,0,C238/B238)</x:f>
        <x:v>612.5882352941177</x:v>
      </x:c>
      <x:c r="E238" s="26" t="n">
        <x:f>IF(D238=0,0,D238/MAX($D$6:$D$337))</x:f>
        <x:v>0.4382785820787841</x:v>
      </x:c>
      <x:c r="F238" s="26" t="n">
        <x:f>IF(B238=0,0,B238/MAX($B$6:$B$337))</x:f>
        <x:v>0.6071428571428571</x:v>
      </x:c>
      <x:c r="G238" s="26" t="n">
        <x:f>'Resumen'!$B$9*E238+'Resumen'!$B$10*F238</x:f>
        <x:v>0.48893786459800603</x:v>
      </x:c>
      <x:c r="H238" s="8" t="n">
        <x:v>7987.81</x:v>
      </x:c>
      <x:c r="I238" s="8" t="n">
        <x:v>72650.93999999999</x:v>
      </x:c>
      <x:c r="J238" s="8" t="n">
        <x:f>MAX(H238-I238,0)</x:f>
        <x:v>0</x:v>
      </x:c>
      <x:c r="K238" s="8" t="n">
        <x:f>J238*G238</x:f>
        <x:v>0</x:v>
      </x:c>
      <x:c r="L238" s="8" t="n">
        <x:f>IFERROR('Resumen'!$B$14*K238/SUM($K$6:$K$337),0)</x:f>
        <x:v>0</x:v>
      </x:c>
      <x:c r="M238" s="8" t="n">
        <x:f>I238+L238</x:f>
        <x:v>72650.93999999999</x:v>
      </x:c>
      <x:c r="N238" s="8" t="n">
        <x:v>0</x:v>
      </x:c>
      <x:c r="O238" s="8" t="n">
        <x:f>N238*'Resumen'!$B$8</x:f>
        <x:v>0</x:v>
      </x:c>
      <x:c r="P238" s="8" t="n">
        <x:f>M238+O238</x:f>
        <x:v>72650.93999999999</x:v>
      </x:c>
      <x:c r="Q238" s="8" t="n">
        <x:f>P238-H238</x:f>
        <x:v>64663.12999999999</x:v>
      </x:c>
      <x:c r="R238" s="8" t="n">
        <x:v>0</x:v>
      </x:c>
      <x:c r="S238" s="8" t="n">
        <x:f>R238*'Resumen'!$B$8</x:f>
        <x:v>0</x:v>
      </x:c>
      <x:c r="T238" s="8" t="n">
        <x:f>M238+S238</x:f>
        <x:v>72650.93999999999</x:v>
      </x:c>
      <x:c r="U238" s="8" t="n">
        <x:f>T238-H238</x:f>
        <x:v>64663.12999999999</x:v>
      </x:c>
      <x:c r="V238" s="27" t="n">
        <x:v>0</x:v>
      </x:c>
    </x:row>
    <x:row r="239">
      <x:c r="A239" s="28" t="str">
        <x:v>735502</x:v>
      </x:c>
      <x:c r="B239" s="25" t="n">
        <x:v>17</x:v>
      </x:c>
      <x:c r="C239" s="25" t="n">
        <x:v>8627</x:v>
      </x:c>
      <x:c r="D239" s="25" t="n">
        <x:f>IF(B239=0,0,C239/B239)</x:f>
        <x:v>507.47058823529414</x:v>
      </x:c>
      <x:c r="E239" s="26" t="n">
        <x:f>IF(D239=0,0,D239/MAX($D$6:$D$337))</x:f>
        <x:v>0.36307176182001827</x:v>
      </x:c>
      <x:c r="F239" s="26" t="n">
        <x:f>IF(B239=0,0,B239/MAX($B$6:$B$337))</x:f>
        <x:v>0.6071428571428571</x:v>
      </x:c>
      <x:c r="G239" s="26" t="n">
        <x:f>'Resumen'!$B$9*E239+'Resumen'!$B$10*F239</x:f>
        <x:v>0.4362930904168699</x:v>
      </x:c>
      <x:c r="H239" s="8" t="n">
        <x:v>0</x:v>
      </x:c>
      <x:c r="I239" s="8" t="n">
        <x:v>53393.31</x:v>
      </x:c>
      <x:c r="J239" s="8" t="n">
        <x:f>MAX(H239-I239,0)</x:f>
        <x:v>0</x:v>
      </x:c>
      <x:c r="K239" s="8" t="n">
        <x:f>J239*G239</x:f>
        <x:v>0</x:v>
      </x:c>
      <x:c r="L239" s="8" t="n">
        <x:f>IFERROR('Resumen'!$B$14*K239/SUM($K$6:$K$337),0)</x:f>
        <x:v>0</x:v>
      </x:c>
      <x:c r="M239" s="8" t="n">
        <x:f>I239+L239</x:f>
        <x:v>53393.31</x:v>
      </x:c>
      <x:c r="N239" s="8" t="n">
        <x:v>0</x:v>
      </x:c>
      <x:c r="O239" s="8" t="n">
        <x:f>N239*'Resumen'!$B$8</x:f>
        <x:v>0</x:v>
      </x:c>
      <x:c r="P239" s="8" t="n">
        <x:f>M239+O239</x:f>
        <x:v>53393.31</x:v>
      </x:c>
      <x:c r="Q239" s="8" t="n">
        <x:f>P239-H239</x:f>
        <x:v>53393.31</x:v>
      </x:c>
      <x:c r="R239" s="8" t="n">
        <x:v>0</x:v>
      </x:c>
      <x:c r="S239" s="8" t="n">
        <x:f>R239*'Resumen'!$B$8</x:f>
        <x:v>0</x:v>
      </x:c>
      <x:c r="T239" s="8" t="n">
        <x:f>M239+S239</x:f>
        <x:v>53393.31</x:v>
      </x:c>
      <x:c r="U239" s="8" t="n">
        <x:f>T239-H239</x:f>
        <x:v>53393.31</x:v>
      </x:c>
      <x:c r="V239" s="27" t="n">
        <x:v>0</x:v>
      </x:c>
    </x:row>
    <x:row r="240">
      <x:c r="A240" s="28" t="str">
        <x:v>734367</x:v>
      </x:c>
      <x:c r="B240" s="25" t="n">
        <x:v>1</x:v>
      </x:c>
      <x:c r="C240" s="25" t="n">
        <x:v>1213</x:v>
      </x:c>
      <x:c r="D240" s="25" t="n">
        <x:f>IF(B240=0,0,C240/B240)</x:f>
        <x:v>1213</x:v>
      </x:c>
      <x:c r="E240" s="26" t="n">
        <x:f>IF(D240=0,0,D240/MAX($D$6:$D$337))</x:f>
        <x:v>0.8678454619787408</x:v>
      </x:c>
      <x:c r="F240" s="26" t="n">
        <x:f>IF(B240=0,0,B240/MAX($B$6:$B$337))</x:f>
        <x:v>0.03571428571428571</x:v>
      </x:c>
      <x:c r="G240" s="26" t="n">
        <x:f>'Resumen'!$B$9*E240+'Resumen'!$B$10*F240</x:f>
        <x:v>0.6182061090994042</x:v>
      </x:c>
      <x:c r="H240" s="8" t="n">
        <x:v>14783.36</x:v>
      </x:c>
      <x:c r="I240" s="8" t="n">
        <x:v>10007.28</x:v>
      </x:c>
      <x:c r="J240" s="8" t="n">
        <x:f>MAX(H240-I240,0)</x:f>
        <x:v>4776.08</x:v>
      </x:c>
      <x:c r="K240" s="8" t="n">
        <x:f>J240*G240</x:f>
        <x:v>2952.6018335474823</x:v>
      </x:c>
      <x:c r="L240" s="8" t="n">
        <x:f>IFERROR('Resumen'!$B$14*K240/SUM($K$6:$K$337),0)</x:f>
        <x:v>2138.6537569013085</x:v>
      </x:c>
      <x:c r="M240" s="8" t="n">
        <x:f>I240+L240</x:f>
        <x:v>12145.93375690131</x:v>
      </x:c>
      <x:c r="N240" s="8" t="n">
        <x:v>0</x:v>
      </x:c>
      <x:c r="O240" s="8" t="n">
        <x:f>N240*'Resumen'!$B$8</x:f>
        <x:v>0</x:v>
      </x:c>
      <x:c r="P240" s="8" t="n">
        <x:f>M240+O240</x:f>
        <x:v>12145.93375690131</x:v>
      </x:c>
      <x:c r="Q240" s="8" t="n">
        <x:f>P240-H240</x:f>
        <x:v>-2637.426243098691</x:v>
      </x:c>
      <x:c r="R240" s="8" t="n">
        <x:v>0</x:v>
      </x:c>
      <x:c r="S240" s="8" t="n">
        <x:f>R240*'Resumen'!$B$8</x:f>
        <x:v>0</x:v>
      </x:c>
      <x:c r="T240" s="8" t="n">
        <x:f>M240+S240</x:f>
        <x:v>12145.93375690131</x:v>
      </x:c>
      <x:c r="U240" s="8" t="n">
        <x:f>T240-H240</x:f>
        <x:v>-2637.426243098691</x:v>
      </x:c>
      <x:c r="V240" s="27" t="n">
        <x:v>0</x:v>
      </x:c>
    </x:row>
    <x:row r="241">
      <x:c r="A241" s="28" t="str">
        <x:v>109224</x:v>
      </x:c>
      <x:c r="B241" s="25" t="n">
        <x:v>1</x:v>
      </x:c>
      <x:c r="C241" s="25" t="n">
        <x:v>0</x:v>
      </x:c>
      <x:c r="D241" s="25" t="n">
        <x:f>IF(B241=0,0,C241/B241)</x:f>
        <x:v>0</x:v>
      </x:c>
      <x:c r="E241" s="26" t="n">
        <x:f>IF(D241=0,0,D241/MAX($D$6:$D$337))</x:f>
        <x:v>0</x:v>
      </x:c>
      <x:c r="F241" s="26" t="n">
        <x:f>IF(B241=0,0,B241/MAX($B$6:$B$337))</x:f>
        <x:v>0.03571428571428571</x:v>
      </x:c>
      <x:c r="G241" s="26" t="n">
        <x:f>'Resumen'!$B$9*E241+'Resumen'!$B$10*F241</x:f>
        <x:v>0.010714285714285713</x:v>
      </x:c>
      <x:c r="H241" s="8" t="n">
        <x:v>0</x:v>
      </x:c>
      <x:c r="I241" s="8" t="n">
        <x:v>0</x:v>
      </x:c>
      <x:c r="J241" s="8" t="n">
        <x:f>MAX(H241-I241,0)</x:f>
        <x:v>0</x:v>
      </x:c>
      <x:c r="K241" s="8" t="n">
        <x:f>J241*G241</x:f>
        <x:v>0</x:v>
      </x:c>
      <x:c r="L241" s="8" t="n">
        <x:f>IFERROR('Resumen'!$B$14*K241/SUM($K$6:$K$337),0)</x:f>
        <x:v>0</x:v>
      </x:c>
      <x:c r="M241" s="8" t="n">
        <x:f>I241+L241</x:f>
        <x:v>0</x:v>
      </x:c>
      <x:c r="N241" s="8" t="n">
        <x:v>0</x:v>
      </x:c>
      <x:c r="O241" s="8" t="n">
        <x:f>N241*'Resumen'!$B$8</x:f>
        <x:v>0</x:v>
      </x:c>
      <x:c r="P241" s="8" t="n">
        <x:f>M241+O241</x:f>
        <x:v>0</x:v>
      </x:c>
      <x:c r="Q241" s="8" t="n">
        <x:f>P241-H241</x:f>
        <x:v>0</x:v>
      </x:c>
      <x:c r="R241" s="8" t="n">
        <x:v>0</x:v>
      </x:c>
      <x:c r="S241" s="8" t="n">
        <x:f>R241*'Resumen'!$B$8</x:f>
        <x:v>0</x:v>
      </x:c>
      <x:c r="T241" s="8" t="n">
        <x:f>M241+S241</x:f>
        <x:v>0</x:v>
      </x:c>
      <x:c r="U241" s="8" t="n">
        <x:f>T241-H241</x:f>
        <x:v>0</x:v>
      </x:c>
      <x:c r="V241" s="27" t="n">
        <x:v>0</x:v>
      </x:c>
    </x:row>
    <x:row r="242">
      <x:c r="A242" s="28" t="str">
        <x:v>190544</x:v>
      </x:c>
      <x:c r="B242" s="25" t="n">
        <x:v>3</x:v>
      </x:c>
      <x:c r="C242" s="25" t="n">
        <x:v>1394</x:v>
      </x:c>
      <x:c r="D242" s="25" t="n">
        <x:f>IF(B242=0,0,C242/B242)</x:f>
        <x:v>464.6666666666667</x:v>
      </x:c>
      <x:c r="E242" s="26" t="n">
        <x:f>IF(D242=0,0,D242/MAX($D$6:$D$337))</x:f>
        <x:v>0.3324475333878441</x:v>
      </x:c>
      <x:c r="F242" s="26" t="n">
        <x:f>IF(B242=0,0,B242/MAX($B$6:$B$337))</x:f>
        <x:v>0.10714285714285714</x:v>
      </x:c>
      <x:c r="G242" s="26" t="n">
        <x:f>'Resumen'!$B$9*E242+'Resumen'!$B$10*F242</x:f>
        <x:v>0.264856130514348</x:v>
      </x:c>
      <x:c r="H242" s="8" t="n">
        <x:v>0</x:v>
      </x:c>
      <x:c r="I242" s="8" t="n">
        <x:v>15210.66</x:v>
      </x:c>
      <x:c r="J242" s="8" t="n">
        <x:f>MAX(H242-I242,0)</x:f>
        <x:v>0</x:v>
      </x:c>
      <x:c r="K242" s="8" t="n">
        <x:f>J242*G242</x:f>
        <x:v>0</x:v>
      </x:c>
      <x:c r="L242" s="8" t="n">
        <x:f>IFERROR('Resumen'!$B$14*K242/SUM($K$6:$K$337),0)</x:f>
        <x:v>0</x:v>
      </x:c>
      <x:c r="M242" s="8" t="n">
        <x:f>I242+L242</x:f>
        <x:v>15210.66</x:v>
      </x:c>
      <x:c r="N242" s="8" t="n">
        <x:v>0</x:v>
      </x:c>
      <x:c r="O242" s="8" t="n">
        <x:f>N242*'Resumen'!$B$8</x:f>
        <x:v>0</x:v>
      </x:c>
      <x:c r="P242" s="8" t="n">
        <x:f>M242+O242</x:f>
        <x:v>15210.66</x:v>
      </x:c>
      <x:c r="Q242" s="8" t="n">
        <x:f>P242-H242</x:f>
        <x:v>15210.66</x:v>
      </x:c>
      <x:c r="R242" s="8" t="n">
        <x:v>0</x:v>
      </x:c>
      <x:c r="S242" s="8" t="n">
        <x:f>R242*'Resumen'!$B$8</x:f>
        <x:v>0</x:v>
      </x:c>
      <x:c r="T242" s="8" t="n">
        <x:f>M242+S242</x:f>
        <x:v>15210.66</x:v>
      </x:c>
      <x:c r="U242" s="8" t="n">
        <x:f>T242-H242</x:f>
        <x:v>15210.66</x:v>
      </x:c>
      <x:c r="V242" s="27" t="n">
        <x:v>0</x:v>
      </x:c>
    </x:row>
    <x:row r="243">
      <x:c r="A243" s="28" t="str">
        <x:v>192695</x:v>
      </x:c>
      <x:c r="B243" s="25" t="n">
        <x:v>4</x:v>
      </x:c>
      <x:c r="C243" s="25" t="n">
        <x:v>1337</x:v>
      </x:c>
      <x:c r="D243" s="25" t="n">
        <x:f>IF(B243=0,0,C243/B243)</x:f>
        <x:v>334.25</x:v>
      </x:c>
      <x:c r="E243" s="26" t="n">
        <x:f>IF(D243=0,0,D243/MAX($D$6:$D$337))</x:f>
        <x:v>0.2391404333605887</x:v>
      </x:c>
      <x:c r="F243" s="26" t="n">
        <x:f>IF(B243=0,0,B243/MAX($B$6:$B$337))</x:f>
        <x:v>0.14285714285714285</x:v>
      </x:c>
      <x:c r="G243" s="26" t="n">
        <x:f>'Resumen'!$B$9*E243+'Resumen'!$B$10*F243</x:f>
        <x:v>0.21025544620955494</x:v>
      </x:c>
      <x:c r="H243" s="8" t="n">
        <x:v>0</x:v>
      </x:c>
      <x:c r="I243" s="8" t="n">
        <x:v>11889.140000000001</x:v>
      </x:c>
      <x:c r="J243" s="8" t="n">
        <x:f>MAX(H243-I243,0)</x:f>
        <x:v>0</x:v>
      </x:c>
      <x:c r="K243" s="8" t="n">
        <x:f>J243*G243</x:f>
        <x:v>0</x:v>
      </x:c>
      <x:c r="L243" s="8" t="n">
        <x:f>IFERROR('Resumen'!$B$14*K243/SUM($K$6:$K$337),0)</x:f>
        <x:v>0</x:v>
      </x:c>
      <x:c r="M243" s="8" t="n">
        <x:f>I243+L243</x:f>
        <x:v>11889.140000000001</x:v>
      </x:c>
      <x:c r="N243" s="8" t="n">
        <x:v>0</x:v>
      </x:c>
      <x:c r="O243" s="8" t="n">
        <x:f>N243*'Resumen'!$B$8</x:f>
        <x:v>0</x:v>
      </x:c>
      <x:c r="P243" s="8" t="n">
        <x:f>M243+O243</x:f>
        <x:v>11889.140000000001</x:v>
      </x:c>
      <x:c r="Q243" s="8" t="n">
        <x:f>P243-H243</x:f>
        <x:v>11889.140000000001</x:v>
      </x:c>
      <x:c r="R243" s="8" t="n">
        <x:v>0</x:v>
      </x:c>
      <x:c r="S243" s="8" t="n">
        <x:f>R243*'Resumen'!$B$8</x:f>
        <x:v>0</x:v>
      </x:c>
      <x:c r="T243" s="8" t="n">
        <x:f>M243+S243</x:f>
        <x:v>11889.140000000001</x:v>
      </x:c>
      <x:c r="U243" s="8" t="n">
        <x:f>T243-H243</x:f>
        <x:v>11889.140000000001</x:v>
      </x:c>
      <x:c r="V243" s="27" t="n">
        <x:v>0</x:v>
      </x:c>
    </x:row>
    <x:row r="244">
      <x:c r="A244" s="28" t="str">
        <x:v>194042</x:v>
      </x:c>
      <x:c r="B244" s="25" t="n">
        <x:v>20</x:v>
      </x:c>
      <x:c r="C244" s="25" t="n">
        <x:v>8074</x:v>
      </x:c>
      <x:c r="D244" s="25" t="n">
        <x:f>IF(B244=0,0,C244/B244)</x:f>
        <x:v>403.7</x:v>
      </x:c>
      <x:c r="E244" s="26" t="n">
        <x:f>IF(D244=0,0,D244/MAX($D$6:$D$337))</x:f>
        <x:v>0.28882869991823384</x:v>
      </x:c>
      <x:c r="F244" s="26" t="n">
        <x:f>IF(B244=0,0,B244/MAX($B$6:$B$337))</x:f>
        <x:v>0.7142857142857143</x:v>
      </x:c>
      <x:c r="G244" s="26" t="n">
        <x:f>'Resumen'!$B$9*E244+'Resumen'!$B$10*F244</x:f>
        <x:v>0.41646580422847795</x:v>
      </x:c>
      <x:c r="H244" s="8" t="n">
        <x:v>87666.66</x:v>
      </x:c>
      <x:c r="I244" s="8" t="n">
        <x:v>102715.98000000001</x:v>
      </x:c>
      <x:c r="J244" s="8" t="n">
        <x:f>MAX(H244-I244,0)</x:f>
        <x:v>0</x:v>
      </x:c>
      <x:c r="K244" s="8" t="n">
        <x:f>J244*G244</x:f>
        <x:v>0</x:v>
      </x:c>
      <x:c r="L244" s="8" t="n">
        <x:f>IFERROR('Resumen'!$B$14*K244/SUM($K$6:$K$337),0)</x:f>
        <x:v>0</x:v>
      </x:c>
      <x:c r="M244" s="8" t="n">
        <x:f>I244+L244</x:f>
        <x:v>102715.98000000001</x:v>
      </x:c>
      <x:c r="N244" s="8" t="n">
        <x:v>0</x:v>
      </x:c>
      <x:c r="O244" s="8" t="n">
        <x:f>N244*'Resumen'!$B$8</x:f>
        <x:v>0</x:v>
      </x:c>
      <x:c r="P244" s="8" t="n">
        <x:f>M244+O244</x:f>
        <x:v>102715.98000000001</x:v>
      </x:c>
      <x:c r="Q244" s="8" t="n">
        <x:f>P244-H244</x:f>
        <x:v>15049.320000000007</x:v>
      </x:c>
      <x:c r="R244" s="8" t="n">
        <x:v>0</x:v>
      </x:c>
      <x:c r="S244" s="8" t="n">
        <x:f>R244*'Resumen'!$B$8</x:f>
        <x:v>0</x:v>
      </x:c>
      <x:c r="T244" s="8" t="n">
        <x:f>M244+S244</x:f>
        <x:v>102715.98000000001</x:v>
      </x:c>
      <x:c r="U244" s="8" t="n">
        <x:f>T244-H244</x:f>
        <x:v>15049.320000000007</x:v>
      </x:c>
      <x:c r="V244" s="27" t="n">
        <x:v>0</x:v>
      </x:c>
    </x:row>
    <x:row r="245">
      <x:c r="A245" s="28" t="str">
        <x:v>208577</x:v>
      </x:c>
      <x:c r="B245" s="25" t="n">
        <x:v>21</x:v>
      </x:c>
      <x:c r="C245" s="25" t="n">
        <x:v>15968</x:v>
      </x:c>
      <x:c r="D245" s="25" t="n">
        <x:f>IF(B245=0,0,C245/B245)</x:f>
        <x:v>760.3809523809524</x:v>
      </x:c>
      <x:c r="E245" s="26" t="n">
        <x:f>IF(D245=0,0,D245/MAX($D$6:$D$337))</x:f>
        <x:v>0.5440174434450804</x:v>
      </x:c>
      <x:c r="F245" s="26" t="n">
        <x:f>IF(B245=0,0,B245/MAX($B$6:$B$337))</x:f>
        <x:v>0.75</x:v>
      </x:c>
      <x:c r="G245" s="26" t="n">
        <x:f>'Resumen'!$B$9*E245+'Resumen'!$B$10*F245</x:f>
        <x:v>0.6058122104115562</x:v>
      </x:c>
      <x:c r="H245" s="8" t="n">
        <x:v>229007.36</x:v>
      </x:c>
      <x:c r="I245" s="8" t="n">
        <x:v>124651.43000000002</x:v>
      </x:c>
      <x:c r="J245" s="8" t="n">
        <x:f>MAX(H245-I245,0)</x:f>
        <x:v>104355.92999999996</x:v>
      </x:c>
      <x:c r="K245" s="8" t="n">
        <x:f>J245*G245</x:f>
        <x:v>63220.096622853605</x:v>
      </x:c>
      <x:c r="L245" s="8" t="n">
        <x:f>IFERROR('Resumen'!$B$14*K245/SUM($K$6:$K$337),0)</x:f>
        <x:v>45792.11989165599</x:v>
      </x:c>
      <x:c r="M245" s="8" t="n">
        <x:f>I245+L245</x:f>
        <x:v>170443.549891656</x:v>
      </x:c>
      <x:c r="N245" s="8" t="n">
        <x:v>0</x:v>
      </x:c>
      <x:c r="O245" s="8" t="n">
        <x:f>N245*'Resumen'!$B$8</x:f>
        <x:v>0</x:v>
      </x:c>
      <x:c r="P245" s="8" t="n">
        <x:f>M245+O245</x:f>
        <x:v>170443.549891656</x:v>
      </x:c>
      <x:c r="Q245" s="8" t="n">
        <x:f>P245-H245</x:f>
        <x:v>-58563.81010834398</x:v>
      </x:c>
      <x:c r="R245" s="8" t="n">
        <x:v>0</x:v>
      </x:c>
      <x:c r="S245" s="8" t="n">
        <x:f>R245*'Resumen'!$B$8</x:f>
        <x:v>0</x:v>
      </x:c>
      <x:c r="T245" s="8" t="n">
        <x:f>M245+S245</x:f>
        <x:v>170443.549891656</x:v>
      </x:c>
      <x:c r="U245" s="8" t="n">
        <x:f>T245-H245</x:f>
        <x:v>-58563.81010834398</x:v>
      </x:c>
      <x:c r="V245" s="27" t="n">
        <x:v>0</x:v>
      </x:c>
    </x:row>
    <x:row r="246">
      <x:c r="A246" s="28" t="str">
        <x:v>734486</x:v>
      </x:c>
      <x:c r="B246" s="25" t="n">
        <x:v>1</x:v>
      </x:c>
      <x:c r="C246" s="25" t="n">
        <x:v>651</x:v>
      </x:c>
      <x:c r="D246" s="25" t="n">
        <x:f>IF(B246=0,0,C246/B246)</x:f>
        <x:v>651</x:v>
      </x:c>
      <x:c r="E246" s="26" t="n">
        <x:f>IF(D246=0,0,D246/MAX($D$6:$D$337))</x:f>
        <x:v>0.4657604251839738</x:v>
      </x:c>
      <x:c r="F246" s="26" t="n">
        <x:f>IF(B246=0,0,B246/MAX($B$6:$B$337))</x:f>
        <x:v>0.03571428571428571</x:v>
      </x:c>
      <x:c r="G246" s="26" t="n">
        <x:f>'Resumen'!$B$9*E246+'Resumen'!$B$10*F246</x:f>
        <x:v>0.3367465833430674</x:v>
      </x:c>
      <x:c r="H246" s="8" t="n">
        <x:v>0</x:v>
      </x:c>
      <x:c r="I246" s="8" t="n">
        <x:v>3852.13</x:v>
      </x:c>
      <x:c r="J246" s="8" t="n">
        <x:f>MAX(H246-I246,0)</x:f>
        <x:v>0</x:v>
      </x:c>
      <x:c r="K246" s="8" t="n">
        <x:f>J246*G246</x:f>
        <x:v>0</x:v>
      </x:c>
      <x:c r="L246" s="8" t="n">
        <x:f>IFERROR('Resumen'!$B$14*K246/SUM($K$6:$K$337),0)</x:f>
        <x:v>0</x:v>
      </x:c>
      <x:c r="M246" s="8" t="n">
        <x:f>I246+L246</x:f>
        <x:v>3852.13</x:v>
      </x:c>
      <x:c r="N246" s="8" t="n">
        <x:v>0</x:v>
      </x:c>
      <x:c r="O246" s="8" t="n">
        <x:f>N246*'Resumen'!$B$8</x:f>
        <x:v>0</x:v>
      </x:c>
      <x:c r="P246" s="8" t="n">
        <x:f>M246+O246</x:f>
        <x:v>3852.13</x:v>
      </x:c>
      <x:c r="Q246" s="8" t="n">
        <x:f>P246-H246</x:f>
        <x:v>3852.13</x:v>
      </x:c>
      <x:c r="R246" s="8" t="n">
        <x:v>0</x:v>
      </x:c>
      <x:c r="S246" s="8" t="n">
        <x:f>R246*'Resumen'!$B$8</x:f>
        <x:v>0</x:v>
      </x:c>
      <x:c r="T246" s="8" t="n">
        <x:f>M246+S246</x:f>
        <x:v>3852.13</x:v>
      </x:c>
      <x:c r="U246" s="8" t="n">
        <x:f>T246-H246</x:f>
        <x:v>3852.13</x:v>
      </x:c>
      <x:c r="V246" s="27" t="n">
        <x:v>0</x:v>
      </x:c>
    </x:row>
    <x:row r="247">
      <x:c r="A247" s="28" t="str">
        <x:v>735195</x:v>
      </x:c>
      <x:c r="B247" s="25" t="n">
        <x:v>9</x:v>
      </x:c>
      <x:c r="C247" s="25" t="n">
        <x:v>8205</x:v>
      </x:c>
      <x:c r="D247" s="25" t="n">
        <x:f>IF(B247=0,0,C247/B247)</x:f>
        <x:v>911.6666666666666</x:v>
      </x:c>
      <x:c r="E247" s="26" t="n">
        <x:f>IF(D247=0,0,D247/MAX($D$6:$D$337))</x:f>
        <x:v>0.6522553829381302</x:v>
      </x:c>
      <x:c r="F247" s="26" t="n">
        <x:f>IF(B247=0,0,B247/MAX($B$6:$B$337))</x:f>
        <x:v>0.32142857142857145</x:v>
      </x:c>
      <x:c r="G247" s="26" t="n">
        <x:f>'Resumen'!$B$9*E247+'Resumen'!$B$10*F247</x:f>
        <x:v>0.5530073394852626</x:v>
      </x:c>
      <x:c r="H247" s="8" t="n">
        <x:v>73160.11</x:v>
      </x:c>
      <x:c r="I247" s="8" t="n">
        <x:v>81046.70999999999</x:v>
      </x:c>
      <x:c r="J247" s="8" t="n">
        <x:f>MAX(H247-I247,0)</x:f>
        <x:v>0</x:v>
      </x:c>
      <x:c r="K247" s="8" t="n">
        <x:f>J247*G247</x:f>
        <x:v>0</x:v>
      </x:c>
      <x:c r="L247" s="8" t="n">
        <x:f>IFERROR('Resumen'!$B$14*K247/SUM($K$6:$K$337),0)</x:f>
        <x:v>0</x:v>
      </x:c>
      <x:c r="M247" s="8" t="n">
        <x:f>I247+L247</x:f>
        <x:v>81046.70999999999</x:v>
      </x:c>
      <x:c r="N247" s="8" t="n">
        <x:v>0</x:v>
      </x:c>
      <x:c r="O247" s="8" t="n">
        <x:f>N247*'Resumen'!$B$8</x:f>
        <x:v>0</x:v>
      </x:c>
      <x:c r="P247" s="8" t="n">
        <x:f>M247+O247</x:f>
        <x:v>81046.70999999999</x:v>
      </x:c>
      <x:c r="Q247" s="8" t="n">
        <x:f>P247-H247</x:f>
        <x:v>7886.599999999991</x:v>
      </x:c>
      <x:c r="R247" s="8" t="n">
        <x:v>0</x:v>
      </x:c>
      <x:c r="S247" s="8" t="n">
        <x:f>R247*'Resumen'!$B$8</x:f>
        <x:v>0</x:v>
      </x:c>
      <x:c r="T247" s="8" t="n">
        <x:f>M247+S247</x:f>
        <x:v>81046.70999999999</x:v>
      </x:c>
      <x:c r="U247" s="8" t="n">
        <x:f>T247-H247</x:f>
        <x:v>7886.599999999991</x:v>
      </x:c>
      <x:c r="V247" s="27" t="n">
        <x:v>0</x:v>
      </x:c>
    </x:row>
    <x:row r="248">
      <x:c r="A248" s="28" t="str">
        <x:v>735498</x:v>
      </x:c>
      <x:c r="B248" s="25" t="n">
        <x:v>16</x:v>
      </x:c>
      <x:c r="C248" s="25" t="n">
        <x:v>10247</x:v>
      </x:c>
      <x:c r="D248" s="25" t="n">
        <x:f>IF(B248=0,0,C248/B248)</x:f>
        <x:v>640.4375</x:v>
      </x:c>
      <x:c r="E248" s="26" t="n">
        <x:f>IF(D248=0,0,D248/MAX($D$6:$D$337))</x:f>
        <x:v>0.4582034443990188</x:v>
      </x:c>
      <x:c r="F248" s="26" t="n">
        <x:f>IF(B248=0,0,B248/MAX($B$6:$B$337))</x:f>
        <x:v>0.5714285714285714</x:v>
      </x:c>
      <x:c r="G248" s="26" t="n">
        <x:f>'Resumen'!$B$9*E248+'Resumen'!$B$10*F248</x:f>
        <x:v>0.4921709825078845</x:v>
      </x:c>
      <x:c r="H248" s="8" t="n">
        <x:v>19246.08</x:v>
      </x:c>
      <x:c r="I248" s="8" t="n">
        <x:v>65472.96</x:v>
      </x:c>
      <x:c r="J248" s="8" t="n">
        <x:f>MAX(H248-I248,0)</x:f>
        <x:v>0</x:v>
      </x:c>
      <x:c r="K248" s="8" t="n">
        <x:f>J248*G248</x:f>
        <x:v>0</x:v>
      </x:c>
      <x:c r="L248" s="8" t="n">
        <x:f>IFERROR('Resumen'!$B$14*K248/SUM($K$6:$K$337),0)</x:f>
        <x:v>0</x:v>
      </x:c>
      <x:c r="M248" s="8" t="n">
        <x:f>I248+L248</x:f>
        <x:v>65472.96</x:v>
      </x:c>
      <x:c r="N248" s="8" t="n">
        <x:v>0</x:v>
      </x:c>
      <x:c r="O248" s="8" t="n">
        <x:f>N248*'Resumen'!$B$8</x:f>
        <x:v>0</x:v>
      </x:c>
      <x:c r="P248" s="8" t="n">
        <x:f>M248+O248</x:f>
        <x:v>65472.96</x:v>
      </x:c>
      <x:c r="Q248" s="8" t="n">
        <x:f>P248-H248</x:f>
        <x:v>46226.88</x:v>
      </x:c>
      <x:c r="R248" s="8" t="n">
        <x:v>0</x:v>
      </x:c>
      <x:c r="S248" s="8" t="n">
        <x:f>R248*'Resumen'!$B$8</x:f>
        <x:v>0</x:v>
      </x:c>
      <x:c r="T248" s="8" t="n">
        <x:f>M248+S248</x:f>
        <x:v>65472.96</x:v>
      </x:c>
      <x:c r="U248" s="8" t="n">
        <x:f>T248-H248</x:f>
        <x:v>46226.88</x:v>
      </x:c>
      <x:c r="V248" s="27" t="n">
        <x:v>0</x:v>
      </x:c>
    </x:row>
    <x:row r="249">
      <x:c r="A249" s="28" t="str">
        <x:v>175154</x:v>
      </x:c>
      <x:c r="B249" s="25" t="n">
        <x:v>1</x:v>
      </x:c>
      <x:c r="C249" s="25" t="n">
        <x:v>0</x:v>
      </x:c>
      <x:c r="D249" s="25" t="n">
        <x:f>IF(B249=0,0,C249/B249)</x:f>
        <x:v>0</x:v>
      </x:c>
      <x:c r="E249" s="26" t="n">
        <x:f>IF(D249=0,0,D249/MAX($D$6:$D$337))</x:f>
        <x:v>0</x:v>
      </x:c>
      <x:c r="F249" s="26" t="n">
        <x:f>IF(B249=0,0,B249/MAX($B$6:$B$337))</x:f>
        <x:v>0.03571428571428571</x:v>
      </x:c>
      <x:c r="G249" s="26" t="n">
        <x:f>'Resumen'!$B$9*E249+'Resumen'!$B$10*F249</x:f>
        <x:v>0.010714285714285713</x:v>
      </x:c>
      <x:c r="H249" s="8" t="n">
        <x:v>0</x:v>
      </x:c>
      <x:c r="I249" s="8" t="n">
        <x:v>0</x:v>
      </x:c>
      <x:c r="J249" s="8" t="n">
        <x:f>MAX(H249-I249,0)</x:f>
        <x:v>0</x:v>
      </x:c>
      <x:c r="K249" s="8" t="n">
        <x:f>J249*G249</x:f>
        <x:v>0</x:v>
      </x:c>
      <x:c r="L249" s="8" t="n">
        <x:f>IFERROR('Resumen'!$B$14*K249/SUM($K$6:$K$337),0)</x:f>
        <x:v>0</x:v>
      </x:c>
      <x:c r="M249" s="8" t="n">
        <x:f>I249+L249</x:f>
        <x:v>0</x:v>
      </x:c>
      <x:c r="N249" s="8" t="n">
        <x:v>0</x:v>
      </x:c>
      <x:c r="O249" s="8" t="n">
        <x:f>N249*'Resumen'!$B$8</x:f>
        <x:v>0</x:v>
      </x:c>
      <x:c r="P249" s="8" t="n">
        <x:f>M249+O249</x:f>
        <x:v>0</x:v>
      </x:c>
      <x:c r="Q249" s="8" t="n">
        <x:f>P249-H249</x:f>
        <x:v>0</x:v>
      </x:c>
      <x:c r="R249" s="8" t="n">
        <x:v>0</x:v>
      </x:c>
      <x:c r="S249" s="8" t="n">
        <x:f>R249*'Resumen'!$B$8</x:f>
        <x:v>0</x:v>
      </x:c>
      <x:c r="T249" s="8" t="n">
        <x:f>M249+S249</x:f>
        <x:v>0</x:v>
      </x:c>
      <x:c r="U249" s="8" t="n">
        <x:f>T249-H249</x:f>
        <x:v>0</x:v>
      </x:c>
      <x:c r="V249" s="27" t="n">
        <x:v>0</x:v>
      </x:c>
    </x:row>
    <x:row r="250">
      <x:c r="A250" s="28" t="str">
        <x:v>208575</x:v>
      </x:c>
      <x:c r="B250" s="25" t="n">
        <x:v>20</x:v>
      </x:c>
      <x:c r="C250" s="25" t="n">
        <x:v>14397</x:v>
      </x:c>
      <x:c r="D250" s="25" t="n">
        <x:f>IF(B250=0,0,C250/B250)</x:f>
        <x:v>719.85</x:v>
      </x:c>
      <x:c r="E250" s="26" t="n">
        <x:f>IF(D250=0,0,D250/MAX($D$6:$D$337))</x:f>
        <x:v>0.5150194194603435</x:v>
      </x:c>
      <x:c r="F250" s="26" t="n">
        <x:f>IF(B250=0,0,B250/MAX($B$6:$B$337))</x:f>
        <x:v>0.7142857142857143</x:v>
      </x:c>
      <x:c r="G250" s="26" t="n">
        <x:f>'Resumen'!$B$9*E250+'Resumen'!$B$10*F250</x:f>
        <x:v>0.5747993079079546</x:v>
      </x:c>
      <x:c r="H250" s="8" t="n">
        <x:v>139713.37</x:v>
      </x:c>
      <x:c r="I250" s="8" t="n">
        <x:v>112152.49000000002</x:v>
      </x:c>
      <x:c r="J250" s="8" t="n">
        <x:f>MAX(H250-I250,0)</x:f>
        <x:v>27560.879999999976</x:v>
      </x:c>
      <x:c r="K250" s="8" t="n">
        <x:f>J250*G250</x:f>
        <x:v>15841.974749334175</x:v>
      </x:c>
      <x:c r="L250" s="8" t="n">
        <x:f>IFERROR('Resumen'!$B$14*K250/SUM($K$6:$K$337),0)</x:f>
        <x:v>11474.794342213278</x:v>
      </x:c>
      <x:c r="M250" s="8" t="n">
        <x:f>I250+L250</x:f>
        <x:v>123627.2843422133</x:v>
      </x:c>
      <x:c r="N250" s="8" t="n">
        <x:v>0</x:v>
      </x:c>
      <x:c r="O250" s="8" t="n">
        <x:f>N250*'Resumen'!$B$8</x:f>
        <x:v>0</x:v>
      </x:c>
      <x:c r="P250" s="8" t="n">
        <x:f>M250+O250</x:f>
        <x:v>123627.2843422133</x:v>
      </x:c>
      <x:c r="Q250" s="8" t="n">
        <x:f>P250-H250</x:f>
        <x:v>-16086.085657786694</x:v>
      </x:c>
      <x:c r="R250" s="8" t="n">
        <x:v>0</x:v>
      </x:c>
      <x:c r="S250" s="8" t="n">
        <x:f>R250*'Resumen'!$B$8</x:f>
        <x:v>0</x:v>
      </x:c>
      <x:c r="T250" s="8" t="n">
        <x:f>M250+S250</x:f>
        <x:v>123627.2843422133</x:v>
      </x:c>
      <x:c r="U250" s="8" t="n">
        <x:f>T250-H250</x:f>
        <x:v>-16086.085657786694</x:v>
      </x:c>
      <x:c r="V250" s="27" t="n">
        <x:v>0</x:v>
      </x:c>
    </x:row>
    <x:row r="251">
      <x:c r="A251" s="28" t="str">
        <x:v>208576</x:v>
      </x:c>
      <x:c r="B251" s="25" t="n">
        <x:v>21</x:v>
      </x:c>
      <x:c r="C251" s="25" t="n">
        <x:v>17727</x:v>
      </x:c>
      <x:c r="D251" s="25" t="n">
        <x:f>IF(B251=0,0,C251/B251)</x:f>
        <x:v>844.1428571428571</x:v>
      </x:c>
      <x:c r="E251" s="26" t="n">
        <x:f>IF(D251=0,0,D251/MAX($D$6:$D$337))</x:f>
        <x:v>0.6039452166802943</x:v>
      </x:c>
      <x:c r="F251" s="26" t="n">
        <x:f>IF(B251=0,0,B251/MAX($B$6:$B$337))</x:f>
        <x:v>0.75</x:v>
      </x:c>
      <x:c r="G251" s="26" t="n">
        <x:f>'Resumen'!$B$9*E251+'Resumen'!$B$10*F251</x:f>
        <x:v>0.6477616516762059</x:v>
      </x:c>
      <x:c r="H251" s="8" t="n">
        <x:v>346816.53</x:v>
      </x:c>
      <x:c r="I251" s="8" t="n">
        <x:v>139313.41</x:v>
      </x:c>
      <x:c r="J251" s="8" t="n">
        <x:f>MAX(H251-I251,0)</x:f>
        <x:v>207503.12000000002</x:v>
      </x:c>
      <x:c r="K251" s="8" t="n">
        <x:f>J251*G251</x:f>
        <x:v>134412.56373916598</x:v>
      </x:c>
      <x:c r="L251" s="8" t="n">
        <x:f>IFERROR('Resumen'!$B$14*K251/SUM($K$6:$K$337),0)</x:f>
        <x:v>97358.85521351354</x:v>
      </x:c>
      <x:c r="M251" s="8" t="n">
        <x:f>I251+L251</x:f>
        <x:v>236672.26521351354</x:v>
      </x:c>
      <x:c r="N251" s="8" t="n">
        <x:v>0</x:v>
      </x:c>
      <x:c r="O251" s="8" t="n">
        <x:f>N251*'Resumen'!$B$8</x:f>
        <x:v>0</x:v>
      </x:c>
      <x:c r="P251" s="8" t="n">
        <x:f>M251+O251</x:f>
        <x:v>236672.26521351354</x:v>
      </x:c>
      <x:c r="Q251" s="8" t="n">
        <x:f>P251-H251</x:f>
        <x:v>-110144.26478648648</x:v>
      </x:c>
      <x:c r="R251" s="8" t="n">
        <x:v>0</x:v>
      </x:c>
      <x:c r="S251" s="8" t="n">
        <x:f>R251*'Resumen'!$B$8</x:f>
        <x:v>0</x:v>
      </x:c>
      <x:c r="T251" s="8" t="n">
        <x:f>M251+S251</x:f>
        <x:v>236672.26521351354</x:v>
      </x:c>
      <x:c r="U251" s="8" t="n">
        <x:f>T251-H251</x:f>
        <x:v>-110144.26478648648</x:v>
      </x:c>
      <x:c r="V251" s="27" t="n">
        <x:v>0</x:v>
      </x:c>
    </x:row>
    <x:row r="252">
      <x:c r="A252" s="28" t="str">
        <x:v>38808</x:v>
      </x:c>
      <x:c r="B252" s="25" t="n">
        <x:v>3</x:v>
      </x:c>
      <x:c r="C252" s="25" t="n">
        <x:v>0</x:v>
      </x:c>
      <x:c r="D252" s="25" t="n">
        <x:f>IF(B252=0,0,C252/B252)</x:f>
        <x:v>0</x:v>
      </x:c>
      <x:c r="E252" s="26" t="n">
        <x:f>IF(D252=0,0,D252/MAX($D$6:$D$337))</x:f>
        <x:v>0</x:v>
      </x:c>
      <x:c r="F252" s="26" t="n">
        <x:f>IF(B252=0,0,B252/MAX($B$6:$B$337))</x:f>
        <x:v>0.10714285714285714</x:v>
      </x:c>
      <x:c r="G252" s="26" t="n">
        <x:f>'Resumen'!$B$9*E252+'Resumen'!$B$10*F252</x:f>
        <x:v>0.03214285714285714</x:v>
      </x:c>
      <x:c r="H252" s="8" t="n">
        <x:v>0</x:v>
      </x:c>
      <x:c r="I252" s="8" t="n">
        <x:v>0</x:v>
      </x:c>
      <x:c r="J252" s="8" t="n">
        <x:f>MAX(H252-I252,0)</x:f>
        <x:v>0</x:v>
      </x:c>
      <x:c r="K252" s="8" t="n">
        <x:f>J252*G252</x:f>
        <x:v>0</x:v>
      </x:c>
      <x:c r="L252" s="8" t="n">
        <x:f>IFERROR('Resumen'!$B$14*K252/SUM($K$6:$K$337),0)</x:f>
        <x:v>0</x:v>
      </x:c>
      <x:c r="M252" s="8" t="n">
        <x:f>I252+L252</x:f>
        <x:v>0</x:v>
      </x:c>
      <x:c r="N252" s="8" t="n">
        <x:v>0</x:v>
      </x:c>
      <x:c r="O252" s="8" t="n">
        <x:f>N252*'Resumen'!$B$8</x:f>
        <x:v>0</x:v>
      </x:c>
      <x:c r="P252" s="8" t="n">
        <x:f>M252+O252</x:f>
        <x:v>0</x:v>
      </x:c>
      <x:c r="Q252" s="8" t="n">
        <x:f>P252-H252</x:f>
        <x:v>0</x:v>
      </x:c>
      <x:c r="R252" s="8" t="n">
        <x:v>0</x:v>
      </x:c>
      <x:c r="S252" s="8" t="n">
        <x:f>R252*'Resumen'!$B$8</x:f>
        <x:v>0</x:v>
      </x:c>
      <x:c r="T252" s="8" t="n">
        <x:f>M252+S252</x:f>
        <x:v>0</x:v>
      </x:c>
      <x:c r="U252" s="8" t="n">
        <x:f>T252-H252</x:f>
        <x:v>0</x:v>
      </x:c>
      <x:c r="V252" s="27" t="n">
        <x:v>0</x:v>
      </x:c>
    </x:row>
    <x:row r="253">
      <x:c r="A253" s="28" t="str">
        <x:v>69338</x:v>
      </x:c>
      <x:c r="B253" s="25" t="n">
        <x:v>6</x:v>
      </x:c>
      <x:c r="C253" s="25" t="n">
        <x:v>3608</x:v>
      </x:c>
      <x:c r="D253" s="25" t="n">
        <x:f>IF(B253=0,0,C253/B253)</x:f>
        <x:v>601.3333333333334</x:v>
      </x:c>
      <x:c r="E253" s="26" t="n">
        <x:f>IF(D253=0,0,D253/MAX($D$6:$D$337))</x:f>
        <x:v>0.4302262196783865</x:v>
      </x:c>
      <x:c r="F253" s="26" t="n">
        <x:f>IF(B253=0,0,B253/MAX($B$6:$B$337))</x:f>
        <x:v>0.21428571428571427</x:v>
      </x:c>
      <x:c r="G253" s="26" t="n">
        <x:f>'Resumen'!$B$9*E253+'Resumen'!$B$10*F253</x:f>
        <x:v>0.36544406806058477</x:v>
      </x:c>
      <x:c r="H253" s="8" t="n">
        <x:v>22737.95</x:v>
      </x:c>
      <x:c r="I253" s="8" t="n">
        <x:v>55899.29</x:v>
      </x:c>
      <x:c r="J253" s="8" t="n">
        <x:f>MAX(H253-I253,0)</x:f>
        <x:v>0</x:v>
      </x:c>
      <x:c r="K253" s="8" t="n">
        <x:f>J253*G253</x:f>
        <x:v>0</x:v>
      </x:c>
      <x:c r="L253" s="8" t="n">
        <x:f>IFERROR('Resumen'!$B$14*K253/SUM($K$6:$K$337),0)</x:f>
        <x:v>0</x:v>
      </x:c>
      <x:c r="M253" s="8" t="n">
        <x:f>I253+L253</x:f>
        <x:v>55899.29</x:v>
      </x:c>
      <x:c r="N253" s="8" t="n">
        <x:v>0</x:v>
      </x:c>
      <x:c r="O253" s="8" t="n">
        <x:f>N253*'Resumen'!$B$8</x:f>
        <x:v>0</x:v>
      </x:c>
      <x:c r="P253" s="8" t="n">
        <x:f>M253+O253</x:f>
        <x:v>55899.29</x:v>
      </x:c>
      <x:c r="Q253" s="8" t="n">
        <x:f>P253-H253</x:f>
        <x:v>33161.34</x:v>
      </x:c>
      <x:c r="R253" s="8" t="n">
        <x:v>0</x:v>
      </x:c>
      <x:c r="S253" s="8" t="n">
        <x:f>R253*'Resumen'!$B$8</x:f>
        <x:v>0</x:v>
      </x:c>
      <x:c r="T253" s="8" t="n">
        <x:f>M253+S253</x:f>
        <x:v>55899.29</x:v>
      </x:c>
      <x:c r="U253" s="8" t="n">
        <x:f>T253-H253</x:f>
        <x:v>33161.34</x:v>
      </x:c>
      <x:c r="V253" s="27" t="n">
        <x:v>0</x:v>
      </x:c>
    </x:row>
    <x:row r="254">
      <x:c r="A254" s="28" t="str">
        <x:v>734484</x:v>
      </x:c>
      <x:c r="B254" s="25" t="n">
        <x:v>7</x:v>
      </x:c>
      <x:c r="C254" s="25" t="n">
        <x:v>4871</x:v>
      </x:c>
      <x:c r="D254" s="25" t="n">
        <x:f>IF(B254=0,0,C254/B254)</x:f>
        <x:v>695.8571428571429</x:v>
      </x:c>
      <x:c r="E254" s="26" t="n">
        <x:f>IF(D254=0,0,D254/MAX($D$6:$D$337))</x:f>
        <x:v>0.49785363859362225</x:v>
      </x:c>
      <x:c r="F254" s="26" t="n">
        <x:f>IF(B254=0,0,B254/MAX($B$6:$B$337))</x:f>
        <x:v>0.25</x:v>
      </x:c>
      <x:c r="G254" s="26" t="n">
        <x:f>'Resumen'!$B$9*E254+'Resumen'!$B$10*F254</x:f>
        <x:v>0.42349754701553555</x:v>
      </x:c>
      <x:c r="H254" s="8" t="n">
        <x:v>37103.89</x:v>
      </x:c>
      <x:c r="I254" s="8" t="n">
        <x:v>40705.090000000004</x:v>
      </x:c>
      <x:c r="J254" s="8" t="n">
        <x:f>MAX(H254-I254,0)</x:f>
        <x:v>0</x:v>
      </x:c>
      <x:c r="K254" s="8" t="n">
        <x:f>J254*G254</x:f>
        <x:v>0</x:v>
      </x:c>
      <x:c r="L254" s="8" t="n">
        <x:f>IFERROR('Resumen'!$B$14*K254/SUM($K$6:$K$337),0)</x:f>
        <x:v>0</x:v>
      </x:c>
      <x:c r="M254" s="8" t="n">
        <x:f>I254+L254</x:f>
        <x:v>40705.090000000004</x:v>
      </x:c>
      <x:c r="N254" s="8" t="n">
        <x:v>0</x:v>
      </x:c>
      <x:c r="O254" s="8" t="n">
        <x:f>N254*'Resumen'!$B$8</x:f>
        <x:v>0</x:v>
      </x:c>
      <x:c r="P254" s="8" t="n">
        <x:f>M254+O254</x:f>
        <x:v>40705.090000000004</x:v>
      </x:c>
      <x:c r="Q254" s="8" t="n">
        <x:f>P254-H254</x:f>
        <x:v>3601.2000000000044</x:v>
      </x:c>
      <x:c r="R254" s="8" t="n">
        <x:v>0</x:v>
      </x:c>
      <x:c r="S254" s="8" t="n">
        <x:f>R254*'Resumen'!$B$8</x:f>
        <x:v>0</x:v>
      </x:c>
      <x:c r="T254" s="8" t="n">
        <x:f>M254+S254</x:f>
        <x:v>40705.090000000004</x:v>
      </x:c>
      <x:c r="U254" s="8" t="n">
        <x:f>T254-H254</x:f>
        <x:v>3601.2000000000044</x:v>
      </x:c>
      <x:c r="V254" s="27" t="n">
        <x:v>0</x:v>
      </x:c>
    </x:row>
    <x:row r="255">
      <x:c r="A255" s="28" t="str">
        <x:v>208623</x:v>
      </x:c>
      <x:c r="B255" s="25" t="n">
        <x:v>20</x:v>
      </x:c>
      <x:c r="C255" s="25" t="n">
        <x:v>16828</x:v>
      </x:c>
      <x:c r="D255" s="25" t="n">
        <x:f>IF(B255=0,0,C255/B255)</x:f>
        <x:v>841.4</x:v>
      </x:c>
      <x:c r="E255" s="26" t="n">
        <x:f>IF(D255=0,0,D255/MAX($D$6:$D$337))</x:f>
        <x:v>0.6019828291087489</x:v>
      </x:c>
      <x:c r="F255" s="26" t="n">
        <x:f>IF(B255=0,0,B255/MAX($B$6:$B$337))</x:f>
        <x:v>0.7142857142857143</x:v>
      </x:c>
      <x:c r="G255" s="26" t="n">
        <x:f>'Resumen'!$B$9*E255+'Resumen'!$B$10*F255</x:f>
        <x:v>0.6356736946618384</x:v>
      </x:c>
      <x:c r="H255" s="8" t="n">
        <x:v>333680.80999999994</x:v>
      </x:c>
      <x:c r="I255" s="8" t="n">
        <x:v>105154.42</x:v>
      </x:c>
      <x:c r="J255" s="8" t="n">
        <x:f>MAX(H255-I255,0)</x:f>
        <x:v>228526.38999999996</x:v>
      </x:c>
      <x:c r="K255" s="8" t="n">
        <x:f>J255*G255</x:f>
        <x:v>145268.21465903218</x:v>
      </x:c>
      <x:c r="L255" s="8" t="n">
        <x:f>IFERROR('Resumen'!$B$14*K255/SUM($K$6:$K$337),0)</x:f>
        <x:v>105221.91292742376</x:v>
      </x:c>
      <x:c r="M255" s="8" t="n">
        <x:f>I255+L255</x:f>
        <x:v>210376.33292742376</x:v>
      </x:c>
      <x:c r="N255" s="8" t="n">
        <x:v>0</x:v>
      </x:c>
      <x:c r="O255" s="8" t="n">
        <x:f>N255*'Resumen'!$B$8</x:f>
        <x:v>0</x:v>
      </x:c>
      <x:c r="P255" s="8" t="n">
        <x:f>M255+O255</x:f>
        <x:v>210376.33292742376</x:v>
      </x:c>
      <x:c r="Q255" s="8" t="n">
        <x:f>P255-H255</x:f>
        <x:v>-123304.47707257618</x:v>
      </x:c>
      <x:c r="R255" s="8" t="n">
        <x:v>0</x:v>
      </x:c>
      <x:c r="S255" s="8" t="n">
        <x:f>R255*'Resumen'!$B$8</x:f>
        <x:v>0</x:v>
      </x:c>
      <x:c r="T255" s="8" t="n">
        <x:f>M255+S255</x:f>
        <x:v>210376.33292742376</x:v>
      </x:c>
      <x:c r="U255" s="8" t="n">
        <x:f>T255-H255</x:f>
        <x:v>-123304.47707257618</x:v>
      </x:c>
      <x:c r="V255" s="27" t="n">
        <x:v>0</x:v>
      </x:c>
    </x:row>
    <x:row r="256">
      <x:c r="A256" s="28" t="str">
        <x:v>49182</x:v>
      </x:c>
      <x:c r="B256" s="25" t="n">
        <x:v>2</x:v>
      </x:c>
      <x:c r="C256" s="25" t="n">
        <x:v>0</x:v>
      </x:c>
      <x:c r="D256" s="25" t="n">
        <x:f>IF(B256=0,0,C256/B256)</x:f>
        <x:v>0</x:v>
      </x:c>
      <x:c r="E256" s="26" t="n">
        <x:f>IF(D256=0,0,D256/MAX($D$6:$D$337))</x:f>
        <x:v>0</x:v>
      </x:c>
      <x:c r="F256" s="26" t="n">
        <x:f>IF(B256=0,0,B256/MAX($B$6:$B$337))</x:f>
        <x:v>0.07142857142857142</x:v>
      </x:c>
      <x:c r="G256" s="26" t="n">
        <x:f>'Resumen'!$B$9*E256+'Resumen'!$B$10*F256</x:f>
        <x:v>0.021428571428571425</x:v>
      </x:c>
      <x:c r="H256" s="8" t="n">
        <x:v>0</x:v>
      </x:c>
      <x:c r="I256" s="8" t="n">
        <x:v>0</x:v>
      </x:c>
      <x:c r="J256" s="8" t="n">
        <x:f>MAX(H256-I256,0)</x:f>
        <x:v>0</x:v>
      </x:c>
      <x:c r="K256" s="8" t="n">
        <x:f>J256*G256</x:f>
        <x:v>0</x:v>
      </x:c>
      <x:c r="L256" s="8" t="n">
        <x:f>IFERROR('Resumen'!$B$14*K256/SUM($K$6:$K$337),0)</x:f>
        <x:v>0</x:v>
      </x:c>
      <x:c r="M256" s="8" t="n">
        <x:f>I256+L256</x:f>
        <x:v>0</x:v>
      </x:c>
      <x:c r="N256" s="8" t="n">
        <x:v>0</x:v>
      </x:c>
      <x:c r="O256" s="8" t="n">
        <x:f>N256*'Resumen'!$B$8</x:f>
        <x:v>0</x:v>
      </x:c>
      <x:c r="P256" s="8" t="n">
        <x:f>M256+O256</x:f>
        <x:v>0</x:v>
      </x:c>
      <x:c r="Q256" s="8" t="n">
        <x:f>P256-H256</x:f>
        <x:v>0</x:v>
      </x:c>
      <x:c r="R256" s="8" t="n">
        <x:v>0</x:v>
      </x:c>
      <x:c r="S256" s="8" t="n">
        <x:f>R256*'Resumen'!$B$8</x:f>
        <x:v>0</x:v>
      </x:c>
      <x:c r="T256" s="8" t="n">
        <x:f>M256+S256</x:f>
        <x:v>0</x:v>
      </x:c>
      <x:c r="U256" s="8" t="n">
        <x:f>T256-H256</x:f>
        <x:v>0</x:v>
      </x:c>
      <x:c r="V256" s="27" t="n">
        <x:v>0</x:v>
      </x:c>
    </x:row>
    <x:row r="257">
      <x:c r="A257" s="28" t="str">
        <x:v>735486</x:v>
      </x:c>
      <x:c r="B257" s="25" t="n">
        <x:v>10</x:v>
      </x:c>
      <x:c r="C257" s="25" t="n">
        <x:v>7061</x:v>
      </x:c>
      <x:c r="D257" s="25" t="n">
        <x:f>IF(B257=0,0,C257/B257)</x:f>
        <x:v>706.1</x:v>
      </x:c>
      <x:c r="E257" s="26" t="n">
        <x:f>IF(D257=0,0,D257/MAX($D$6:$D$337))</x:f>
        <x:v>0.505181929681112</x:v>
      </x:c>
      <x:c r="F257" s="26" t="n">
        <x:f>IF(B257=0,0,B257/MAX($B$6:$B$337))</x:f>
        <x:v>0.35714285714285715</x:v>
      </x:c>
      <x:c r="G257" s="26" t="n">
        <x:f>'Resumen'!$B$9*E257+'Resumen'!$B$10*F257</x:f>
        <x:v>0.4607702079196355</x:v>
      </x:c>
      <x:c r="H257" s="8" t="n">
        <x:v>32354.68</x:v>
      </x:c>
      <x:c r="I257" s="8" t="n">
        <x:v>35955.58</x:v>
      </x:c>
      <x:c r="J257" s="8" t="n">
        <x:f>MAX(H257-I257,0)</x:f>
        <x:v>0</x:v>
      </x:c>
      <x:c r="K257" s="8" t="n">
        <x:f>J257*G257</x:f>
        <x:v>0</x:v>
      </x:c>
      <x:c r="L257" s="8" t="n">
        <x:f>IFERROR('Resumen'!$B$14*K257/SUM($K$6:$K$337),0)</x:f>
        <x:v>0</x:v>
      </x:c>
      <x:c r="M257" s="8" t="n">
        <x:f>I257+L257</x:f>
        <x:v>35955.58</x:v>
      </x:c>
      <x:c r="N257" s="8" t="n">
        <x:v>0</x:v>
      </x:c>
      <x:c r="O257" s="8" t="n">
        <x:f>N257*'Resumen'!$B$8</x:f>
        <x:v>0</x:v>
      </x:c>
      <x:c r="P257" s="8" t="n">
        <x:f>M257+O257</x:f>
        <x:v>35955.58</x:v>
      </x:c>
      <x:c r="Q257" s="8" t="n">
        <x:f>P257-H257</x:f>
        <x:v>3600.9000000000015</x:v>
      </x:c>
      <x:c r="R257" s="8" t="n">
        <x:v>0</x:v>
      </x:c>
      <x:c r="S257" s="8" t="n">
        <x:f>R257*'Resumen'!$B$8</x:f>
        <x:v>0</x:v>
      </x:c>
      <x:c r="T257" s="8" t="n">
        <x:f>M257+S257</x:f>
        <x:v>35955.58</x:v>
      </x:c>
      <x:c r="U257" s="8" t="n">
        <x:f>T257-H257</x:f>
        <x:v>3600.9000000000015</x:v>
      </x:c>
      <x:c r="V257" s="27" t="n">
        <x:v>0</x:v>
      </x:c>
    </x:row>
    <x:row r="258">
      <x:c r="A258" s="28" t="str">
        <x:v>735488</x:v>
      </x:c>
      <x:c r="B258" s="25" t="n">
        <x:v>12</x:v>
      </x:c>
      <x:c r="C258" s="25" t="n">
        <x:v>6971</x:v>
      </x:c>
      <x:c r="D258" s="25" t="n">
        <x:f>IF(B258=0,0,C258/B258)</x:f>
        <x:v>580.9166666666666</x:v>
      </x:c>
      <x:c r="E258" s="26" t="n">
        <x:f>IF(D258=0,0,D258/MAX($D$6:$D$337))</x:f>
        <x:v>0.4156190378849822</x:v>
      </x:c>
      <x:c r="F258" s="26" t="n">
        <x:f>IF(B258=0,0,B258/MAX($B$6:$B$337))</x:f>
        <x:v>0.42857142857142855</x:v>
      </x:c>
      <x:c r="G258" s="26" t="n">
        <x:f>'Resumen'!$B$9*E258+'Resumen'!$B$10*F258</x:f>
        <x:v>0.4195047550909161</x:v>
      </x:c>
      <x:c r="H258" s="8" t="n">
        <x:v>11419.55</x:v>
      </x:c>
      <x:c r="I258" s="8" t="n">
        <x:v>39860.66</x:v>
      </x:c>
      <x:c r="J258" s="8" t="n">
        <x:f>MAX(H258-I258,0)</x:f>
        <x:v>0</x:v>
      </x:c>
      <x:c r="K258" s="8" t="n">
        <x:f>J258*G258</x:f>
        <x:v>0</x:v>
      </x:c>
      <x:c r="L258" s="8" t="n">
        <x:f>IFERROR('Resumen'!$B$14*K258/SUM($K$6:$K$337),0)</x:f>
        <x:v>0</x:v>
      </x:c>
      <x:c r="M258" s="8" t="n">
        <x:f>I258+L258</x:f>
        <x:v>39860.66</x:v>
      </x:c>
      <x:c r="N258" s="8" t="n">
        <x:v>0</x:v>
      </x:c>
      <x:c r="O258" s="8" t="n">
        <x:f>N258*'Resumen'!$B$8</x:f>
        <x:v>0</x:v>
      </x:c>
      <x:c r="P258" s="8" t="n">
        <x:f>M258+O258</x:f>
        <x:v>39860.66</x:v>
      </x:c>
      <x:c r="Q258" s="8" t="n">
        <x:f>P258-H258</x:f>
        <x:v>28441.110000000004</x:v>
      </x:c>
      <x:c r="R258" s="8" t="n">
        <x:v>0</x:v>
      </x:c>
      <x:c r="S258" s="8" t="n">
        <x:f>R258*'Resumen'!$B$8</x:f>
        <x:v>0</x:v>
      </x:c>
      <x:c r="T258" s="8" t="n">
        <x:f>M258+S258</x:f>
        <x:v>39860.66</x:v>
      </x:c>
      <x:c r="U258" s="8" t="n">
        <x:f>T258-H258</x:f>
        <x:v>28441.110000000004</x:v>
      </x:c>
      <x:c r="V258" s="27" t="n">
        <x:v>0</x:v>
      </x:c>
    </x:row>
    <x:row r="259">
      <x:c r="A259" s="28" t="str">
        <x:v>735490</x:v>
      </x:c>
      <x:c r="B259" s="25" t="n">
        <x:v>10</x:v>
      </x:c>
      <x:c r="C259" s="25" t="n">
        <x:v>5701</x:v>
      </x:c>
      <x:c r="D259" s="25" t="n">
        <x:f>IF(B259=0,0,C259/B259)</x:f>
        <x:v>570.1</x:v>
      </x:c>
      <x:c r="E259" s="26" t="n">
        <x:f>IF(D259=0,0,D259/MAX($D$6:$D$337))</x:f>
        <x:v>0.4078802125919869</x:v>
      </x:c>
      <x:c r="F259" s="26" t="n">
        <x:f>IF(B259=0,0,B259/MAX($B$6:$B$337))</x:f>
        <x:v>0.35714285714285715</x:v>
      </x:c>
      <x:c r="G259" s="26" t="n">
        <x:f>'Resumen'!$B$9*E259+'Resumen'!$B$10*F259</x:f>
        <x:v>0.39265900595724795</x:v>
      </x:c>
      <x:c r="H259" s="8" t="n">
        <x:v>0</x:v>
      </x:c>
      <x:c r="I259" s="8" t="n">
        <x:v>20187.39</x:v>
      </x:c>
      <x:c r="J259" s="8" t="n">
        <x:f>MAX(H259-I259,0)</x:f>
        <x:v>0</x:v>
      </x:c>
      <x:c r="K259" s="8" t="n">
        <x:f>J259*G259</x:f>
        <x:v>0</x:v>
      </x:c>
      <x:c r="L259" s="8" t="n">
        <x:f>IFERROR('Resumen'!$B$14*K259/SUM($K$6:$K$337),0)</x:f>
        <x:v>0</x:v>
      </x:c>
      <x:c r="M259" s="8" t="n">
        <x:f>I259+L259</x:f>
        <x:v>20187.39</x:v>
      </x:c>
      <x:c r="N259" s="8" t="n">
        <x:v>0</x:v>
      </x:c>
      <x:c r="O259" s="8" t="n">
        <x:f>N259*'Resumen'!$B$8</x:f>
        <x:v>0</x:v>
      </x:c>
      <x:c r="P259" s="8" t="n">
        <x:f>M259+O259</x:f>
        <x:v>20187.39</x:v>
      </x:c>
      <x:c r="Q259" s="8" t="n">
        <x:f>P259-H259</x:f>
        <x:v>20187.39</x:v>
      </x:c>
      <x:c r="R259" s="8" t="n">
        <x:v>0</x:v>
      </x:c>
      <x:c r="S259" s="8" t="n">
        <x:f>R259*'Resumen'!$B$8</x:f>
        <x:v>0</x:v>
      </x:c>
      <x:c r="T259" s="8" t="n">
        <x:f>M259+S259</x:f>
        <x:v>20187.39</x:v>
      </x:c>
      <x:c r="U259" s="8" t="n">
        <x:f>T259-H259</x:f>
        <x:v>20187.39</x:v>
      </x:c>
      <x:c r="V259" s="27" t="n">
        <x:v>0</x:v>
      </x:c>
    </x:row>
    <x:row r="260">
      <x:c r="A260" s="28" t="str">
        <x:v>735494</x:v>
      </x:c>
      <x:c r="B260" s="25" t="n">
        <x:v>16</x:v>
      </x:c>
      <x:c r="C260" s="25" t="n">
        <x:v>11236</x:v>
      </x:c>
      <x:c r="D260" s="25" t="n">
        <x:f>IF(B260=0,0,C260/B260)</x:f>
        <x:v>702.25</x:v>
      </x:c>
      <x:c r="E260" s="26" t="n">
        <x:f>IF(D260=0,0,D260/MAX($D$6:$D$337))</x:f>
        <x:v>0.5024274325429272</x:v>
      </x:c>
      <x:c r="F260" s="26" t="n">
        <x:f>IF(B260=0,0,B260/MAX($B$6:$B$337))</x:f>
        <x:v>0.5714285714285714</x:v>
      </x:c>
      <x:c r="G260" s="26" t="n">
        <x:f>'Resumen'!$B$9*E260+'Resumen'!$B$10*F260</x:f>
        <x:v>0.5231277742086204</x:v>
      </x:c>
      <x:c r="H260" s="8" t="n">
        <x:v>19237.230000000003</x:v>
      </x:c>
      <x:c r="I260" s="8" t="n">
        <x:v>71162.83</x:v>
      </x:c>
      <x:c r="J260" s="8" t="n">
        <x:f>MAX(H260-I260,0)</x:f>
        <x:v>0</x:v>
      </x:c>
      <x:c r="K260" s="8" t="n">
        <x:f>J260*G260</x:f>
        <x:v>0</x:v>
      </x:c>
      <x:c r="L260" s="8" t="n">
        <x:f>IFERROR('Resumen'!$B$14*K260/SUM($K$6:$K$337),0)</x:f>
        <x:v>0</x:v>
      </x:c>
      <x:c r="M260" s="8" t="n">
        <x:f>I260+L260</x:f>
        <x:v>71162.83</x:v>
      </x:c>
      <x:c r="N260" s="8" t="n">
        <x:v>0</x:v>
      </x:c>
      <x:c r="O260" s="8" t="n">
        <x:f>N260*'Resumen'!$B$8</x:f>
        <x:v>0</x:v>
      </x:c>
      <x:c r="P260" s="8" t="n">
        <x:f>M260+O260</x:f>
        <x:v>71162.83</x:v>
      </x:c>
      <x:c r="Q260" s="8" t="n">
        <x:f>P260-H260</x:f>
        <x:v>51925.6</x:v>
      </x:c>
      <x:c r="R260" s="8" t="n">
        <x:v>0</x:v>
      </x:c>
      <x:c r="S260" s="8" t="n">
        <x:f>R260*'Resumen'!$B$8</x:f>
        <x:v>0</x:v>
      </x:c>
      <x:c r="T260" s="8" t="n">
        <x:f>M260+S260</x:f>
        <x:v>71162.83</x:v>
      </x:c>
      <x:c r="U260" s="8" t="n">
        <x:f>T260-H260</x:f>
        <x:v>51925.6</x:v>
      </x:c>
      <x:c r="V260" s="27" t="n">
        <x:v>0</x:v>
      </x:c>
    </x:row>
    <x:row r="261">
      <x:c r="A261" s="28" t="str">
        <x:v>735500</x:v>
      </x:c>
      <x:c r="B261" s="25" t="n">
        <x:v>5</x:v>
      </x:c>
      <x:c r="C261" s="25" t="n">
        <x:v>2156</x:v>
      </x:c>
      <x:c r="D261" s="25" t="n">
        <x:f>IF(B261=0,0,C261/B261)</x:f>
        <x:v>431.2</x:v>
      </x:c>
      <x:c r="E261" s="26" t="n">
        <x:f>IF(D261=0,0,D261/MAX($D$6:$D$337))</x:f>
        <x:v>0.3085036794766966</x:v>
      </x:c>
      <x:c r="F261" s="26" t="n">
        <x:f>IF(B261=0,0,B261/MAX($B$6:$B$337))</x:f>
        <x:v>0.17857142857142858</x:v>
      </x:c>
      <x:c r="G261" s="26" t="n">
        <x:f>'Resumen'!$B$9*E261+'Resumen'!$B$10*F261</x:f>
        <x:v>0.2695240042051162</x:v>
      </x:c>
      <x:c r="H261" s="8" t="n">
        <x:v>0</x:v>
      </x:c>
      <x:c r="I261" s="8" t="n">
        <x:v>19641.050000000003</x:v>
      </x:c>
      <x:c r="J261" s="8" t="n">
        <x:f>MAX(H261-I261,0)</x:f>
        <x:v>0</x:v>
      </x:c>
      <x:c r="K261" s="8" t="n">
        <x:f>J261*G261</x:f>
        <x:v>0</x:v>
      </x:c>
      <x:c r="L261" s="8" t="n">
        <x:f>IFERROR('Resumen'!$B$14*K261/SUM($K$6:$K$337),0)</x:f>
        <x:v>0</x:v>
      </x:c>
      <x:c r="M261" s="8" t="n">
        <x:f>I261+L261</x:f>
        <x:v>19641.050000000003</x:v>
      </x:c>
      <x:c r="N261" s="8" t="n">
        <x:v>0</x:v>
      </x:c>
      <x:c r="O261" s="8" t="n">
        <x:f>N261*'Resumen'!$B$8</x:f>
        <x:v>0</x:v>
      </x:c>
      <x:c r="P261" s="8" t="n">
        <x:f>M261+O261</x:f>
        <x:v>19641.050000000003</x:v>
      </x:c>
      <x:c r="Q261" s="8" t="n">
        <x:f>P261-H261</x:f>
        <x:v>19641.050000000003</x:v>
      </x:c>
      <x:c r="R261" s="8" t="n">
        <x:v>0</x:v>
      </x:c>
      <x:c r="S261" s="8" t="n">
        <x:f>R261*'Resumen'!$B$8</x:f>
        <x:v>0</x:v>
      </x:c>
      <x:c r="T261" s="8" t="n">
        <x:f>M261+S261</x:f>
        <x:v>19641.050000000003</x:v>
      </x:c>
      <x:c r="U261" s="8" t="n">
        <x:f>T261-H261</x:f>
        <x:v>19641.050000000003</x:v>
      </x:c>
      <x:c r="V261" s="27" t="n">
        <x:v>0</x:v>
      </x:c>
    </x:row>
    <x:row r="262">
      <x:c r="A262" s="28" t="str">
        <x:v>100810</x:v>
      </x:c>
      <x:c r="B262" s="25" t="n">
        <x:v>2</x:v>
      </x:c>
      <x:c r="C262" s="25" t="n">
        <x:v>0</x:v>
      </x:c>
      <x:c r="D262" s="25" t="n">
        <x:f>IF(B262=0,0,C262/B262)</x:f>
        <x:v>0</x:v>
      </x:c>
      <x:c r="E262" s="26" t="n">
        <x:f>IF(D262=0,0,D262/MAX($D$6:$D$337))</x:f>
        <x:v>0</x:v>
      </x:c>
      <x:c r="F262" s="26" t="n">
        <x:f>IF(B262=0,0,B262/MAX($B$6:$B$337))</x:f>
        <x:v>0.07142857142857142</x:v>
      </x:c>
      <x:c r="G262" s="26" t="n">
        <x:f>'Resumen'!$B$9*E262+'Resumen'!$B$10*F262</x:f>
        <x:v>0.021428571428571425</x:v>
      </x:c>
      <x:c r="H262" s="8" t="n">
        <x:v>0</x:v>
      </x:c>
      <x:c r="I262" s="8" t="n">
        <x:v>0</x:v>
      </x:c>
      <x:c r="J262" s="8" t="n">
        <x:f>MAX(H262-I262,0)</x:f>
        <x:v>0</x:v>
      </x:c>
      <x:c r="K262" s="8" t="n">
        <x:f>J262*G262</x:f>
        <x:v>0</x:v>
      </x:c>
      <x:c r="L262" s="8" t="n">
        <x:f>IFERROR('Resumen'!$B$14*K262/SUM($K$6:$K$337),0)</x:f>
        <x:v>0</x:v>
      </x:c>
      <x:c r="M262" s="8" t="n">
        <x:f>I262+L262</x:f>
        <x:v>0</x:v>
      </x:c>
      <x:c r="N262" s="8" t="n">
        <x:v>0</x:v>
      </x:c>
      <x:c r="O262" s="8" t="n">
        <x:f>N262*'Resumen'!$B$8</x:f>
        <x:v>0</x:v>
      </x:c>
      <x:c r="P262" s="8" t="n">
        <x:f>M262+O262</x:f>
        <x:v>0</x:v>
      </x:c>
      <x:c r="Q262" s="8" t="n">
        <x:f>P262-H262</x:f>
        <x:v>0</x:v>
      </x:c>
      <x:c r="R262" s="8" t="n">
        <x:v>0</x:v>
      </x:c>
      <x:c r="S262" s="8" t="n">
        <x:f>R262*'Resumen'!$B$8</x:f>
        <x:v>0</x:v>
      </x:c>
      <x:c r="T262" s="8" t="n">
        <x:f>M262+S262</x:f>
        <x:v>0</x:v>
      </x:c>
      <x:c r="U262" s="8" t="n">
        <x:f>T262-H262</x:f>
        <x:v>0</x:v>
      </x:c>
      <x:c r="V262" s="27" t="n">
        <x:v>0</x:v>
      </x:c>
    </x:row>
    <x:row r="263">
      <x:c r="A263" s="28" t="str">
        <x:v>199091</x:v>
      </x:c>
      <x:c r="B263" s="25" t="n">
        <x:v>3</x:v>
      </x:c>
      <x:c r="C263" s="25" t="n">
        <x:v>1296</x:v>
      </x:c>
      <x:c r="D263" s="25" t="n">
        <x:f>IF(B263=0,0,C263/B263)</x:f>
        <x:v>432</x:v>
      </x:c>
      <x:c r="E263" s="26" t="n">
        <x:f>IF(D263=0,0,D263/MAX($D$6:$D$337))</x:f>
        <x:v>0.3090760425183974</x:v>
      </x:c>
      <x:c r="F263" s="26" t="n">
        <x:f>IF(B263=0,0,B263/MAX($B$6:$B$337))</x:f>
        <x:v>0.10714285714285714</x:v>
      </x:c>
      <x:c r="G263" s="26" t="n">
        <x:f>'Resumen'!$B$9*E263+'Resumen'!$B$10*F263</x:f>
        <x:v>0.2484960869057353</x:v>
      </x:c>
      <x:c r="H263" s="8" t="n">
        <x:v>0</x:v>
      </x:c>
      <x:c r="I263" s="8" t="n">
        <x:v>9540.980000000001</x:v>
      </x:c>
      <x:c r="J263" s="8" t="n">
        <x:f>MAX(H263-I263,0)</x:f>
        <x:v>0</x:v>
      </x:c>
      <x:c r="K263" s="8" t="n">
        <x:f>J263*G263</x:f>
        <x:v>0</x:v>
      </x:c>
      <x:c r="L263" s="8" t="n">
        <x:f>IFERROR('Resumen'!$B$14*K263/SUM($K$6:$K$337),0)</x:f>
        <x:v>0</x:v>
      </x:c>
      <x:c r="M263" s="8" t="n">
        <x:f>I263+L263</x:f>
        <x:v>9540.980000000001</x:v>
      </x:c>
      <x:c r="N263" s="8" t="n">
        <x:v>0</x:v>
      </x:c>
      <x:c r="O263" s="8" t="n">
        <x:f>N263*'Resumen'!$B$8</x:f>
        <x:v>0</x:v>
      </x:c>
      <x:c r="P263" s="8" t="n">
        <x:f>M263+O263</x:f>
        <x:v>9540.980000000001</x:v>
      </x:c>
      <x:c r="Q263" s="8" t="n">
        <x:f>P263-H263</x:f>
        <x:v>9540.980000000001</x:v>
      </x:c>
      <x:c r="R263" s="8" t="n">
        <x:v>0</x:v>
      </x:c>
      <x:c r="S263" s="8" t="n">
        <x:f>R263*'Resumen'!$B$8</x:f>
        <x:v>0</x:v>
      </x:c>
      <x:c r="T263" s="8" t="n">
        <x:f>M263+S263</x:f>
        <x:v>9540.980000000001</x:v>
      </x:c>
      <x:c r="U263" s="8" t="n">
        <x:f>T263-H263</x:f>
        <x:v>9540.980000000001</x:v>
      </x:c>
      <x:c r="V263" s="27" t="n">
        <x:v>0</x:v>
      </x:c>
    </x:row>
    <x:row r="264">
      <x:c r="A264" s="28" t="str">
        <x:v>203640</x:v>
      </x:c>
      <x:c r="B264" s="25" t="n">
        <x:v>2</x:v>
      </x:c>
      <x:c r="C264" s="25" t="n">
        <x:v>1426</x:v>
      </x:c>
      <x:c r="D264" s="25" t="n">
        <x:f>IF(B264=0,0,C264/B264)</x:f>
        <x:v>713</x:v>
      </x:c>
      <x:c r="E264" s="26" t="n">
        <x:f>IF(D264=0,0,D264/MAX($D$6:$D$337))</x:f>
        <x:v>0.5101185609157809</x:v>
      </x:c>
      <x:c r="F264" s="26" t="n">
        <x:f>IF(B264=0,0,B264/MAX($B$6:$B$337))</x:f>
        <x:v>0.07142857142857142</x:v>
      </x:c>
      <x:c r="G264" s="26" t="n">
        <x:f>'Resumen'!$B$9*E264+'Resumen'!$B$10*F264</x:f>
        <x:v>0.378511564069618</x:v>
      </x:c>
      <x:c r="H264" s="8" t="n">
        <x:v>26392.7</x:v>
      </x:c>
      <x:c r="I264" s="8" t="n">
        <x:v>24523.8</x:v>
      </x:c>
      <x:c r="J264" s="8" t="n">
        <x:f>MAX(H264-I264,0)</x:f>
        <x:v>1868.9000000000015</x:v>
      </x:c>
      <x:c r="K264" s="8" t="n">
        <x:f>J264*G264</x:f>
        <x:v>707.4002620897096</x:v>
      </x:c>
      <x:c r="L264" s="8" t="n">
        <x:f>IFERROR('Resumen'!$B$14*K264/SUM($K$6:$K$337),0)</x:f>
        <x:v>512.390194628252</x:v>
      </x:c>
      <x:c r="M264" s="8" t="n">
        <x:f>I264+L264</x:f>
        <x:v>25036.190194628252</x:v>
      </x:c>
      <x:c r="N264" s="8" t="n">
        <x:v>0</x:v>
      </x:c>
      <x:c r="O264" s="8" t="n">
        <x:f>N264*'Resumen'!$B$8</x:f>
        <x:v>0</x:v>
      </x:c>
      <x:c r="P264" s="8" t="n">
        <x:f>M264+O264</x:f>
        <x:v>25036.190194628252</x:v>
      </x:c>
      <x:c r="Q264" s="8" t="n">
        <x:f>P264-H264</x:f>
        <x:v>-1356.5098053717484</x:v>
      </x:c>
      <x:c r="R264" s="8" t="n">
        <x:v>0</x:v>
      </x:c>
      <x:c r="S264" s="8" t="n">
        <x:f>R264*'Resumen'!$B$8</x:f>
        <x:v>0</x:v>
      </x:c>
      <x:c r="T264" s="8" t="n">
        <x:f>M264+S264</x:f>
        <x:v>25036.190194628252</x:v>
      </x:c>
      <x:c r="U264" s="8" t="n">
        <x:f>T264-H264</x:f>
        <x:v>-1356.5098053717484</x:v>
      </x:c>
      <x:c r="V264" s="27" t="n">
        <x:v>0</x:v>
      </x:c>
    </x:row>
    <x:row r="265">
      <x:c r="A265" s="28" t="str">
        <x:v>3134</x:v>
      </x:c>
      <x:c r="B265" s="25" t="n">
        <x:v>15</x:v>
      </x:c>
      <x:c r="C265" s="25" t="n">
        <x:v>0</x:v>
      </x:c>
      <x:c r="D265" s="25" t="n">
        <x:f>IF(B265=0,0,C265/B265)</x:f>
        <x:v>0</x:v>
      </x:c>
      <x:c r="E265" s="26" t="n">
        <x:f>IF(D265=0,0,D265/MAX($D$6:$D$337))</x:f>
        <x:v>0</x:v>
      </x:c>
      <x:c r="F265" s="26" t="n">
        <x:f>IF(B265=0,0,B265/MAX($B$6:$B$337))</x:f>
        <x:v>0.5357142857142857</x:v>
      </x:c>
      <x:c r="G265" s="26" t="n">
        <x:f>'Resumen'!$B$9*E265+'Resumen'!$B$10*F265</x:f>
        <x:v>0.1607142857142857</x:v>
      </x:c>
      <x:c r="H265" s="8" t="n">
        <x:v>0</x:v>
      </x:c>
      <x:c r="I265" s="8" t="n">
        <x:v>0</x:v>
      </x:c>
      <x:c r="J265" s="8" t="n">
        <x:f>MAX(H265-I265,0)</x:f>
        <x:v>0</x:v>
      </x:c>
      <x:c r="K265" s="8" t="n">
        <x:f>J265*G265</x:f>
        <x:v>0</x:v>
      </x:c>
      <x:c r="L265" s="8" t="n">
        <x:f>IFERROR('Resumen'!$B$14*K265/SUM($K$6:$K$337),0)</x:f>
        <x:v>0</x:v>
      </x:c>
      <x:c r="M265" s="8" t="n">
        <x:f>I265+L265</x:f>
        <x:v>0</x:v>
      </x:c>
      <x:c r="N265" s="8" t="n">
        <x:v>0</x:v>
      </x:c>
      <x:c r="O265" s="8" t="n">
        <x:f>N265*'Resumen'!$B$8</x:f>
        <x:v>0</x:v>
      </x:c>
      <x:c r="P265" s="8" t="n">
        <x:f>M265+O265</x:f>
        <x:v>0</x:v>
      </x:c>
      <x:c r="Q265" s="8" t="n">
        <x:f>P265-H265</x:f>
        <x:v>0</x:v>
      </x:c>
      <x:c r="R265" s="8" t="n">
        <x:v>0</x:v>
      </x:c>
      <x:c r="S265" s="8" t="n">
        <x:f>R265*'Resumen'!$B$8</x:f>
        <x:v>0</x:v>
      </x:c>
      <x:c r="T265" s="8" t="n">
        <x:f>M265+S265</x:f>
        <x:v>0</x:v>
      </x:c>
      <x:c r="U265" s="8" t="n">
        <x:f>T265-H265</x:f>
        <x:v>0</x:v>
      </x:c>
      <x:c r="V265" s="27" t="n">
        <x:v>0</x:v>
      </x:c>
    </x:row>
    <x:row r="266">
      <x:c r="A266" s="28" t="str">
        <x:v>735487</x:v>
      </x:c>
      <x:c r="B266" s="25" t="n">
        <x:v>9</x:v>
      </x:c>
      <x:c r="C266" s="25" t="n">
        <x:v>6900</x:v>
      </x:c>
      <x:c r="D266" s="25" t="n">
        <x:f>IF(B266=0,0,C266/B266)</x:f>
        <x:v>766.6666666666666</x:v>
      </x:c>
      <x:c r="E266" s="26" t="n">
        <x:f>IF(D266=0,0,D266/MAX($D$6:$D$337))</x:f>
        <x:v>0.5485145816298719</x:v>
      </x:c>
      <x:c r="F266" s="26" t="n">
        <x:f>IF(B266=0,0,B266/MAX($B$6:$B$337))</x:f>
        <x:v>0.32142857142857145</x:v>
      </x:c>
      <x:c r="G266" s="26" t="n">
        <x:f>'Resumen'!$B$9*E266+'Resumen'!$B$10*F266</x:f>
        <x:v>0.4803887785694817</x:v>
      </x:c>
      <x:c r="H266" s="8" t="n">
        <x:v>32763.899999999998</x:v>
      </x:c>
      <x:c r="I266" s="8" t="n">
        <x:v>35308.7</x:v>
      </x:c>
      <x:c r="J266" s="8" t="n">
        <x:f>MAX(H266-I266,0)</x:f>
        <x:v>0</x:v>
      </x:c>
      <x:c r="K266" s="8" t="n">
        <x:f>J266*G266</x:f>
        <x:v>0</x:v>
      </x:c>
      <x:c r="L266" s="8" t="n">
        <x:f>IFERROR('Resumen'!$B$14*K266/SUM($K$6:$K$337),0)</x:f>
        <x:v>0</x:v>
      </x:c>
      <x:c r="M266" s="8" t="n">
        <x:f>I266+L266</x:f>
        <x:v>35308.7</x:v>
      </x:c>
      <x:c r="N266" s="8" t="n">
        <x:v>0</x:v>
      </x:c>
      <x:c r="O266" s="8" t="n">
        <x:f>N266*'Resumen'!$B$8</x:f>
        <x:v>0</x:v>
      </x:c>
      <x:c r="P266" s="8" t="n">
        <x:f>M266+O266</x:f>
        <x:v>35308.7</x:v>
      </x:c>
      <x:c r="Q266" s="8" t="n">
        <x:f>P266-H266</x:f>
        <x:v>2544.7999999999993</x:v>
      </x:c>
      <x:c r="R266" s="8" t="n">
        <x:v>0</x:v>
      </x:c>
      <x:c r="S266" s="8" t="n">
        <x:f>R266*'Resumen'!$B$8</x:f>
        <x:v>0</x:v>
      </x:c>
      <x:c r="T266" s="8" t="n">
        <x:f>M266+S266</x:f>
        <x:v>35308.7</x:v>
      </x:c>
      <x:c r="U266" s="8" t="n">
        <x:f>T266-H266</x:f>
        <x:v>2544.7999999999993</x:v>
      </x:c>
      <x:c r="V266" s="27" t="n">
        <x:v>0</x:v>
      </x:c>
    </x:row>
    <x:row r="267">
      <x:c r="A267" s="28" t="str">
        <x:v>735489</x:v>
      </x:c>
      <x:c r="B267" s="25" t="n">
        <x:v>14</x:v>
      </x:c>
      <x:c r="C267" s="25" t="n">
        <x:v>9701</x:v>
      </x:c>
      <x:c r="D267" s="25" t="n">
        <x:f>IF(B267=0,0,C267/B267)</x:f>
        <x:v>692.9285714285714</x:v>
      </x:c>
      <x:c r="E267" s="26" t="n">
        <x:f>IF(D267=0,0,D267/MAX($D$6:$D$337))</x:f>
        <x:v>0.49575838103025344</x:v>
      </x:c>
      <x:c r="F267" s="26" t="n">
        <x:f>IF(B267=0,0,B267/MAX($B$6:$B$337))</x:f>
        <x:v>0.5</x:v>
      </x:c>
      <x:c r="G267" s="26" t="n">
        <x:f>'Resumen'!$B$9*E267+'Resumen'!$B$10*F267</x:f>
        <x:v>0.49703086672117736</x:v>
      </x:c>
      <x:c r="H267" s="8" t="n">
        <x:v>30827.87</x:v>
      </x:c>
      <x:c r="I267" s="8" t="n">
        <x:v>51399.119999999995</x:v>
      </x:c>
      <x:c r="J267" s="8" t="n">
        <x:f>MAX(H267-I267,0)</x:f>
        <x:v>0</x:v>
      </x:c>
      <x:c r="K267" s="8" t="n">
        <x:f>J267*G267</x:f>
        <x:v>0</x:v>
      </x:c>
      <x:c r="L267" s="8" t="n">
        <x:f>IFERROR('Resumen'!$B$14*K267/SUM($K$6:$K$337),0)</x:f>
        <x:v>0</x:v>
      </x:c>
      <x:c r="M267" s="8" t="n">
        <x:f>I267+L267</x:f>
        <x:v>51399.119999999995</x:v>
      </x:c>
      <x:c r="N267" s="8" t="n">
        <x:v>0</x:v>
      </x:c>
      <x:c r="O267" s="8" t="n">
        <x:f>N267*'Resumen'!$B$8</x:f>
        <x:v>0</x:v>
      </x:c>
      <x:c r="P267" s="8" t="n">
        <x:f>M267+O267</x:f>
        <x:v>51399.119999999995</x:v>
      </x:c>
      <x:c r="Q267" s="8" t="n">
        <x:f>P267-H267</x:f>
        <x:v>20571.249999999996</x:v>
      </x:c>
      <x:c r="R267" s="8" t="n">
        <x:v>0</x:v>
      </x:c>
      <x:c r="S267" s="8" t="n">
        <x:f>R267*'Resumen'!$B$8</x:f>
        <x:v>0</x:v>
      </x:c>
      <x:c r="T267" s="8" t="n">
        <x:f>M267+S267</x:f>
        <x:v>51399.119999999995</x:v>
      </x:c>
      <x:c r="U267" s="8" t="n">
        <x:f>T267-H267</x:f>
        <x:v>20571.249999999996</x:v>
      </x:c>
      <x:c r="V267" s="27" t="n">
        <x:v>0</x:v>
      </x:c>
    </x:row>
    <x:row r="268">
      <x:c r="A268" s="28" t="str">
        <x:v>78652</x:v>
      </x:c>
      <x:c r="B268" s="25" t="n">
        <x:v>1</x:v>
      </x:c>
      <x:c r="C268" s="25" t="n">
        <x:v>0</x:v>
      </x:c>
      <x:c r="D268" s="25" t="n">
        <x:f>IF(B268=0,0,C268/B268)</x:f>
        <x:v>0</x:v>
      </x:c>
      <x:c r="E268" s="26" t="n">
        <x:f>IF(D268=0,0,D268/MAX($D$6:$D$337))</x:f>
        <x:v>0</x:v>
      </x:c>
      <x:c r="F268" s="26" t="n">
        <x:f>IF(B268=0,0,B268/MAX($B$6:$B$337))</x:f>
        <x:v>0.03571428571428571</x:v>
      </x:c>
      <x:c r="G268" s="26" t="n">
        <x:f>'Resumen'!$B$9*E268+'Resumen'!$B$10*F268</x:f>
        <x:v>0.010714285714285713</x:v>
      </x:c>
      <x:c r="H268" s="8" t="n">
        <x:v>0</x:v>
      </x:c>
      <x:c r="I268" s="8" t="n">
        <x:v>0</x:v>
      </x:c>
      <x:c r="J268" s="8" t="n">
        <x:f>MAX(H268-I268,0)</x:f>
        <x:v>0</x:v>
      </x:c>
      <x:c r="K268" s="8" t="n">
        <x:f>J268*G268</x:f>
        <x:v>0</x:v>
      </x:c>
      <x:c r="L268" s="8" t="n">
        <x:f>IFERROR('Resumen'!$B$14*K268/SUM($K$6:$K$337),0)</x:f>
        <x:v>0</x:v>
      </x:c>
      <x:c r="M268" s="8" t="n">
        <x:f>I268+L268</x:f>
        <x:v>0</x:v>
      </x:c>
      <x:c r="N268" s="8" t="n">
        <x:v>0</x:v>
      </x:c>
      <x:c r="O268" s="8" t="n">
        <x:f>N268*'Resumen'!$B$8</x:f>
        <x:v>0</x:v>
      </x:c>
      <x:c r="P268" s="8" t="n">
        <x:f>M268+O268</x:f>
        <x:v>0</x:v>
      </x:c>
      <x:c r="Q268" s="8" t="n">
        <x:f>P268-H268</x:f>
        <x:v>0</x:v>
      </x:c>
      <x:c r="R268" s="8" t="n">
        <x:v>0</x:v>
      </x:c>
      <x:c r="S268" s="8" t="n">
        <x:f>R268*'Resumen'!$B$8</x:f>
        <x:v>0</x:v>
      </x:c>
      <x:c r="T268" s="8" t="n">
        <x:f>M268+S268</x:f>
        <x:v>0</x:v>
      </x:c>
      <x:c r="U268" s="8" t="n">
        <x:f>T268-H268</x:f>
        <x:v>0</x:v>
      </x:c>
      <x:c r="V268" s="27" t="n">
        <x:v>0</x:v>
      </x:c>
    </x:row>
    <x:row r="269">
      <x:c r="A269" s="28" t="str">
        <x:v>16183</x:v>
      </x:c>
      <x:c r="B269" s="25" t="n">
        <x:v>1</x:v>
      </x:c>
      <x:c r="C269" s="25" t="n">
        <x:v>0</x:v>
      </x:c>
      <x:c r="D269" s="25" t="n">
        <x:f>IF(B269=0,0,C269/B269)</x:f>
        <x:v>0</x:v>
      </x:c>
      <x:c r="E269" s="26" t="n">
        <x:f>IF(D269=0,0,D269/MAX($D$6:$D$337))</x:f>
        <x:v>0</x:v>
      </x:c>
      <x:c r="F269" s="26" t="n">
        <x:f>IF(B269=0,0,B269/MAX($B$6:$B$337))</x:f>
        <x:v>0.03571428571428571</x:v>
      </x:c>
      <x:c r="G269" s="26" t="n">
        <x:f>'Resumen'!$B$9*E269+'Resumen'!$B$10*F269</x:f>
        <x:v>0.010714285714285713</x:v>
      </x:c>
      <x:c r="H269" s="8" t="n">
        <x:v>0</x:v>
      </x:c>
      <x:c r="I269" s="8" t="n">
        <x:v>0</x:v>
      </x:c>
      <x:c r="J269" s="8" t="n">
        <x:f>MAX(H269-I269,0)</x:f>
        <x:v>0</x:v>
      </x:c>
      <x:c r="K269" s="8" t="n">
        <x:f>J269*G269</x:f>
        <x:v>0</x:v>
      </x:c>
      <x:c r="L269" s="8" t="n">
        <x:f>IFERROR('Resumen'!$B$14*K269/SUM($K$6:$K$337),0)</x:f>
        <x:v>0</x:v>
      </x:c>
      <x:c r="M269" s="8" t="n">
        <x:f>I269+L269</x:f>
        <x:v>0</x:v>
      </x:c>
      <x:c r="N269" s="8" t="n">
        <x:v>0</x:v>
      </x:c>
      <x:c r="O269" s="8" t="n">
        <x:f>N269*'Resumen'!$B$8</x:f>
        <x:v>0</x:v>
      </x:c>
      <x:c r="P269" s="8" t="n">
        <x:f>M269+O269</x:f>
        <x:v>0</x:v>
      </x:c>
      <x:c r="Q269" s="8" t="n">
        <x:f>P269-H269</x:f>
        <x:v>0</x:v>
      </x:c>
      <x:c r="R269" s="8" t="n">
        <x:v>0</x:v>
      </x:c>
      <x:c r="S269" s="8" t="n">
        <x:f>R269*'Resumen'!$B$8</x:f>
        <x:v>0</x:v>
      </x:c>
      <x:c r="T269" s="8" t="n">
        <x:f>M269+S269</x:f>
        <x:v>0</x:v>
      </x:c>
      <x:c r="U269" s="8" t="n">
        <x:f>T269-H269</x:f>
        <x:v>0</x:v>
      </x:c>
      <x:c r="V269" s="27" t="n">
        <x:v>0</x:v>
      </x:c>
    </x:row>
    <x:row r="270">
      <x:c r="A270" s="28" t="str">
        <x:v>170527</x:v>
      </x:c>
      <x:c r="B270" s="25" t="n">
        <x:v>1</x:v>
      </x:c>
      <x:c r="C270" s="25" t="n">
        <x:v>0</x:v>
      </x:c>
      <x:c r="D270" s="25" t="n">
        <x:f>IF(B270=0,0,C270/B270)</x:f>
        <x:v>0</x:v>
      </x:c>
      <x:c r="E270" s="26" t="n">
        <x:f>IF(D270=0,0,D270/MAX($D$6:$D$337))</x:f>
        <x:v>0</x:v>
      </x:c>
      <x:c r="F270" s="26" t="n">
        <x:f>IF(B270=0,0,B270/MAX($B$6:$B$337))</x:f>
        <x:v>0.03571428571428571</x:v>
      </x:c>
      <x:c r="G270" s="26" t="n">
        <x:f>'Resumen'!$B$9*E270+'Resumen'!$B$10*F270</x:f>
        <x:v>0.010714285714285713</x:v>
      </x:c>
      <x:c r="H270" s="8" t="n">
        <x:v>0</x:v>
      </x:c>
      <x:c r="I270" s="8" t="n">
        <x:v>0</x:v>
      </x:c>
      <x:c r="J270" s="8" t="n">
        <x:f>MAX(H270-I270,0)</x:f>
        <x:v>0</x:v>
      </x:c>
      <x:c r="K270" s="8" t="n">
        <x:f>J270*G270</x:f>
        <x:v>0</x:v>
      </x:c>
      <x:c r="L270" s="8" t="n">
        <x:f>IFERROR('Resumen'!$B$14*K270/SUM($K$6:$K$337),0)</x:f>
        <x:v>0</x:v>
      </x:c>
      <x:c r="M270" s="8" t="n">
        <x:f>I270+L270</x:f>
        <x:v>0</x:v>
      </x:c>
      <x:c r="N270" s="8" t="n">
        <x:v>0</x:v>
      </x:c>
      <x:c r="O270" s="8" t="n">
        <x:f>N270*'Resumen'!$B$8</x:f>
        <x:v>0</x:v>
      </x:c>
      <x:c r="P270" s="8" t="n">
        <x:f>M270+O270</x:f>
        <x:v>0</x:v>
      </x:c>
      <x:c r="Q270" s="8" t="n">
        <x:f>P270-H270</x:f>
        <x:v>0</x:v>
      </x:c>
      <x:c r="R270" s="8" t="n">
        <x:v>0</x:v>
      </x:c>
      <x:c r="S270" s="8" t="n">
        <x:f>R270*'Resumen'!$B$8</x:f>
        <x:v>0</x:v>
      </x:c>
      <x:c r="T270" s="8" t="n">
        <x:f>M270+S270</x:f>
        <x:v>0</x:v>
      </x:c>
      <x:c r="U270" s="8" t="n">
        <x:f>T270-H270</x:f>
        <x:v>0</x:v>
      </x:c>
      <x:c r="V270" s="27" t="n">
        <x:v>0</x:v>
      </x:c>
    </x:row>
    <x:row r="271">
      <x:c r="A271" s="28" t="str">
        <x:v>735251</x:v>
      </x:c>
      <x:c r="B271" s="25" t="n">
        <x:v>6</x:v>
      </x:c>
      <x:c r="C271" s="25" t="n">
        <x:v>5823</x:v>
      </x:c>
      <x:c r="D271" s="25" t="n">
        <x:f>IF(B271=0,0,C271/B271)</x:f>
        <x:v>970.5</x:v>
      </x:c>
      <x:c r="E271" s="26" t="n">
        <x:f>IF(D271=0,0,D271/MAX($D$6:$D$337))</x:f>
        <x:v>0.6943479149632052</x:v>
      </x:c>
      <x:c r="F271" s="26" t="n">
        <x:f>IF(B271=0,0,B271/MAX($B$6:$B$337))</x:f>
        <x:v>0.21428571428571427</x:v>
      </x:c>
      <x:c r="G271" s="26" t="n">
        <x:f>'Resumen'!$B$9*E271+'Resumen'!$B$10*F271</x:f>
        <x:v>0.5503292547599579</x:v>
      </x:c>
      <x:c r="H271" s="8" t="n">
        <x:v>53079.37</x:v>
      </x:c>
      <x:c r="I271" s="8" t="n">
        <x:v>58234.61</x:v>
      </x:c>
      <x:c r="J271" s="8" t="n">
        <x:f>MAX(H271-I271,0)</x:f>
        <x:v>0</x:v>
      </x:c>
      <x:c r="K271" s="8" t="n">
        <x:f>J271*G271</x:f>
        <x:v>0</x:v>
      </x:c>
      <x:c r="L271" s="8" t="n">
        <x:f>IFERROR('Resumen'!$B$14*K271/SUM($K$6:$K$337),0)</x:f>
        <x:v>0</x:v>
      </x:c>
      <x:c r="M271" s="8" t="n">
        <x:f>I271+L271</x:f>
        <x:v>58234.61</x:v>
      </x:c>
      <x:c r="N271" s="8" t="n">
        <x:v>0</x:v>
      </x:c>
      <x:c r="O271" s="8" t="n">
        <x:f>N271*'Resumen'!$B$8</x:f>
        <x:v>0</x:v>
      </x:c>
      <x:c r="P271" s="8" t="n">
        <x:f>M271+O271</x:f>
        <x:v>58234.61</x:v>
      </x:c>
      <x:c r="Q271" s="8" t="n">
        <x:f>P271-H271</x:f>
        <x:v>5155.239999999998</x:v>
      </x:c>
      <x:c r="R271" s="8" t="n">
        <x:v>0</x:v>
      </x:c>
      <x:c r="S271" s="8" t="n">
        <x:f>R271*'Resumen'!$B$8</x:f>
        <x:v>0</x:v>
      </x:c>
      <x:c r="T271" s="8" t="n">
        <x:f>M271+S271</x:f>
        <x:v>58234.61</x:v>
      </x:c>
      <x:c r="U271" s="8" t="n">
        <x:f>T271-H271</x:f>
        <x:v>5155.239999999998</x:v>
      </x:c>
      <x:c r="V271" s="27" t="n">
        <x:v>0</x:v>
      </x:c>
    </x:row>
    <x:row r="272">
      <x:c r="A272" s="28" t="str">
        <x:v>735274</x:v>
      </x:c>
      <x:c r="B272" s="25" t="n">
        <x:v>8</x:v>
      </x:c>
      <x:c r="C272" s="25" t="n">
        <x:v>5301</x:v>
      </x:c>
      <x:c r="D272" s="25" t="n">
        <x:f>IF(B272=0,0,C272/B272)</x:f>
        <x:v>662.625</x:v>
      </x:c>
      <x:c r="E272" s="26" t="n">
        <x:f>IF(D272=0,0,D272/MAX($D$6:$D$337))</x:f>
        <x:v>0.47407757563368763</x:v>
      </x:c>
      <x:c r="F272" s="26" t="n">
        <x:f>IF(B272=0,0,B272/MAX($B$6:$B$337))</x:f>
        <x:v>0.2857142857142857</x:v>
      </x:c>
      <x:c r="G272" s="26" t="n">
        <x:f>'Resumen'!$B$9*E272+'Resumen'!$B$10*F272</x:f>
        <x:v>0.417568588657867</x:v>
      </x:c>
      <x:c r="H272" s="8" t="n">
        <x:v>48000.85999999999</x:v>
      </x:c>
      <x:c r="I272" s="8" t="n">
        <x:v>39167.62</x:v>
      </x:c>
      <x:c r="J272" s="8" t="n">
        <x:f>MAX(H272-I272,0)</x:f>
        <x:v>8833.23999999999</x:v>
      </x:c>
      <x:c r="K272" s="8" t="n">
        <x:f>J272*G272</x:f>
        <x:v>3688.483560076213</x:v>
      </x:c>
      <x:c r="L272" s="8" t="n">
        <x:f>IFERROR('Resumen'!$B$14*K272/SUM($K$6:$K$337),0)</x:f>
        <x:v>2671.6738889063113</x:v>
      </x:c>
      <x:c r="M272" s="8" t="n">
        <x:f>I272+L272</x:f>
        <x:v>41839.293888906315</x:v>
      </x:c>
      <x:c r="N272" s="8" t="n">
        <x:v>0</x:v>
      </x:c>
      <x:c r="O272" s="8" t="n">
        <x:f>N272*'Resumen'!$B$8</x:f>
        <x:v>0</x:v>
      </x:c>
      <x:c r="P272" s="8" t="n">
        <x:f>M272+O272</x:f>
        <x:v>41839.293888906315</x:v>
      </x:c>
      <x:c r="Q272" s="8" t="n">
        <x:f>P272-H272</x:f>
        <x:v>-6161.566111093678</x:v>
      </x:c>
      <x:c r="R272" s="8" t="n">
        <x:v>0</x:v>
      </x:c>
      <x:c r="S272" s="8" t="n">
        <x:f>R272*'Resumen'!$B$8</x:f>
        <x:v>0</x:v>
      </x:c>
      <x:c r="T272" s="8" t="n">
        <x:f>M272+S272</x:f>
        <x:v>41839.293888906315</x:v>
      </x:c>
      <x:c r="U272" s="8" t="n">
        <x:f>T272-H272</x:f>
        <x:v>-6161.566111093678</x:v>
      </x:c>
      <x:c r="V272" s="27" t="n">
        <x:v>0</x:v>
      </x:c>
    </x:row>
    <x:row r="273">
      <x:c r="A273" s="28" t="str">
        <x:v>735277</x:v>
      </x:c>
      <x:c r="B273" s="25" t="n">
        <x:v>8</x:v>
      </x:c>
      <x:c r="C273" s="25" t="n">
        <x:v>5440</x:v>
      </x:c>
      <x:c r="D273" s="25" t="n">
        <x:f>IF(B273=0,0,C273/B273)</x:f>
        <x:v>680</x:v>
      </x:c>
      <x:c r="E273" s="26" t="n">
        <x:f>IF(D273=0,0,D273/MAX($D$6:$D$337))</x:f>
        <x:v>0.4865085854456255</x:v>
      </x:c>
      <x:c r="F273" s="26" t="n">
        <x:f>IF(B273=0,0,B273/MAX($B$6:$B$337))</x:f>
        <x:v>0.2857142857142857</x:v>
      </x:c>
      <x:c r="G273" s="26" t="n">
        <x:f>'Resumen'!$B$9*E273+'Resumen'!$B$10*F273</x:f>
        <x:v>0.4262702955262235</x:v>
      </x:c>
      <x:c r="H273" s="8" t="n">
        <x:v>35947.7</x:v>
      </x:c>
      <x:c r="I273" s="8" t="n">
        <x:v>36270.87</x:v>
      </x:c>
      <x:c r="J273" s="8" t="n">
        <x:f>MAX(H273-I273,0)</x:f>
        <x:v>0</x:v>
      </x:c>
      <x:c r="K273" s="8" t="n">
        <x:f>J273*G273</x:f>
        <x:v>0</x:v>
      </x:c>
      <x:c r="L273" s="8" t="n">
        <x:f>IFERROR('Resumen'!$B$14*K273/SUM($K$6:$K$337),0)</x:f>
        <x:v>0</x:v>
      </x:c>
      <x:c r="M273" s="8" t="n">
        <x:f>I273+L273</x:f>
        <x:v>36270.87</x:v>
      </x:c>
      <x:c r="N273" s="8" t="n">
        <x:v>0</x:v>
      </x:c>
      <x:c r="O273" s="8" t="n">
        <x:f>N273*'Resumen'!$B$8</x:f>
        <x:v>0</x:v>
      </x:c>
      <x:c r="P273" s="8" t="n">
        <x:f>M273+O273</x:f>
        <x:v>36270.87</x:v>
      </x:c>
      <x:c r="Q273" s="8" t="n">
        <x:f>P273-H273</x:f>
        <x:v>323.17000000000553</x:v>
      </x:c>
      <x:c r="R273" s="8" t="n">
        <x:v>0</x:v>
      </x:c>
      <x:c r="S273" s="8" t="n">
        <x:f>R273*'Resumen'!$B$8</x:f>
        <x:v>0</x:v>
      </x:c>
      <x:c r="T273" s="8" t="n">
        <x:f>M273+S273</x:f>
        <x:v>36270.87</x:v>
      </x:c>
      <x:c r="U273" s="8" t="n">
        <x:f>T273-H273</x:f>
        <x:v>323.17000000000553</x:v>
      </x:c>
      <x:c r="V273" s="27" t="n">
        <x:v>0</x:v>
      </x:c>
    </x:row>
    <x:row r="274">
      <x:c r="A274" s="28" t="str">
        <x:v>735276</x:v>
      </x:c>
      <x:c r="B274" s="25" t="n">
        <x:v>4</x:v>
      </x:c>
      <x:c r="C274" s="25" t="n">
        <x:v>1509</x:v>
      </x:c>
      <x:c r="D274" s="25" t="n">
        <x:f>IF(B274=0,0,C274/B274)</x:f>
        <x:v>377.25</x:v>
      </x:c>
      <x:c r="E274" s="26" t="n">
        <x:f>IF(D274=0,0,D274/MAX($D$6:$D$337))</x:f>
        <x:v>0.2699049468520033</x:v>
      </x:c>
      <x:c r="F274" s="26" t="n">
        <x:f>IF(B274=0,0,B274/MAX($B$6:$B$337))</x:f>
        <x:v>0.14285714285714285</x:v>
      </x:c>
      <x:c r="G274" s="26" t="n">
        <x:f>'Resumen'!$B$9*E274+'Resumen'!$B$10*F274</x:f>
        <x:v>0.23179060565354512</x:v>
      </x:c>
      <x:c r="H274" s="8" t="n">
        <x:v>0</x:v>
      </x:c>
      <x:c r="I274" s="8" t="n">
        <x:v>7658.639999999999</x:v>
      </x:c>
      <x:c r="J274" s="8" t="n">
        <x:f>MAX(H274-I274,0)</x:f>
        <x:v>0</x:v>
      </x:c>
      <x:c r="K274" s="8" t="n">
        <x:f>J274*G274</x:f>
        <x:v>0</x:v>
      </x:c>
      <x:c r="L274" s="8" t="n">
        <x:f>IFERROR('Resumen'!$B$14*K274/SUM($K$6:$K$337),0)</x:f>
        <x:v>0</x:v>
      </x:c>
      <x:c r="M274" s="8" t="n">
        <x:f>I274+L274</x:f>
        <x:v>7658.639999999999</x:v>
      </x:c>
      <x:c r="N274" s="8" t="n">
        <x:v>0</x:v>
      </x:c>
      <x:c r="O274" s="8" t="n">
        <x:f>N274*'Resumen'!$B$8</x:f>
        <x:v>0</x:v>
      </x:c>
      <x:c r="P274" s="8" t="n">
        <x:f>M274+O274</x:f>
        <x:v>7658.639999999999</x:v>
      </x:c>
      <x:c r="Q274" s="8" t="n">
        <x:f>P274-H274</x:f>
        <x:v>7658.639999999999</x:v>
      </x:c>
      <x:c r="R274" s="8" t="n">
        <x:v>0</x:v>
      </x:c>
      <x:c r="S274" s="8" t="n">
        <x:f>R274*'Resumen'!$B$8</x:f>
        <x:v>0</x:v>
      </x:c>
      <x:c r="T274" s="8" t="n">
        <x:f>M274+S274</x:f>
        <x:v>7658.639999999999</x:v>
      </x:c>
      <x:c r="U274" s="8" t="n">
        <x:f>T274-H274</x:f>
        <x:v>7658.639999999999</x:v>
      </x:c>
      <x:c r="V274" s="27" t="n">
        <x:v>0</x:v>
      </x:c>
    </x:row>
    <x:row r="275">
      <x:c r="A275" s="28" t="str">
        <x:v>121581</x:v>
      </x:c>
      <x:c r="B275" s="25" t="n">
        <x:v>10</x:v>
      </x:c>
      <x:c r="C275" s="25" t="n">
        <x:v>4740</x:v>
      </x:c>
      <x:c r="D275" s="25" t="n">
        <x:f>IF(B275=0,0,C275/B275)</x:f>
        <x:v>474</x:v>
      </x:c>
      <x:c r="E275" s="26" t="n">
        <x:f>IF(D275=0,0,D275/MAX($D$6:$D$337))</x:f>
        <x:v>0.339125102207686</x:v>
      </x:c>
      <x:c r="F275" s="26" t="n">
        <x:f>IF(B275=0,0,B275/MAX($B$6:$B$337))</x:f>
        <x:v>0.35714285714285715</x:v>
      </x:c>
      <x:c r="G275" s="26" t="n">
        <x:f>'Resumen'!$B$9*E275+'Resumen'!$B$10*F275</x:f>
        <x:v>0.3445304286882373</x:v>
      </x:c>
      <x:c r="H275" s="8" t="n">
        <x:v>56427.259999999995</x:v>
      </x:c>
      <x:c r="I275" s="8" t="n">
        <x:v>63035.140000000014</x:v>
      </x:c>
      <x:c r="J275" s="8" t="n">
        <x:f>MAX(H275-I275,0)</x:f>
        <x:v>0</x:v>
      </x:c>
      <x:c r="K275" s="8" t="n">
        <x:f>J275*G275</x:f>
        <x:v>0</x:v>
      </x:c>
      <x:c r="L275" s="8" t="n">
        <x:f>IFERROR('Resumen'!$B$14*K275/SUM($K$6:$K$337),0)</x:f>
        <x:v>0</x:v>
      </x:c>
      <x:c r="M275" s="8" t="n">
        <x:f>I275+L275</x:f>
        <x:v>63035.140000000014</x:v>
      </x:c>
      <x:c r="N275" s="8" t="n">
        <x:v>0</x:v>
      </x:c>
      <x:c r="O275" s="8" t="n">
        <x:f>N275*'Resumen'!$B$8</x:f>
        <x:v>0</x:v>
      </x:c>
      <x:c r="P275" s="8" t="n">
        <x:f>M275+O275</x:f>
        <x:v>63035.140000000014</x:v>
      </x:c>
      <x:c r="Q275" s="8" t="n">
        <x:f>P275-H275</x:f>
        <x:v>6607.880000000019</x:v>
      </x:c>
      <x:c r="R275" s="8" t="n">
        <x:v>0</x:v>
      </x:c>
      <x:c r="S275" s="8" t="n">
        <x:f>R275*'Resumen'!$B$8</x:f>
        <x:v>0</x:v>
      </x:c>
      <x:c r="T275" s="8" t="n">
        <x:f>M275+S275</x:f>
        <x:v>63035.140000000014</x:v>
      </x:c>
      <x:c r="U275" s="8" t="n">
        <x:f>T275-H275</x:f>
        <x:v>6607.880000000019</x:v>
      </x:c>
      <x:c r="V275" s="27" t="n">
        <x:v>0</x:v>
      </x:c>
    </x:row>
    <x:row r="276">
      <x:c r="A276" s="28" t="str">
        <x:v>121583</x:v>
      </x:c>
      <x:c r="B276" s="25" t="n">
        <x:v>9</x:v>
      </x:c>
      <x:c r="C276" s="25" t="n">
        <x:v>5154</x:v>
      </x:c>
      <x:c r="D276" s="25" t="n">
        <x:f>IF(B276=0,0,C276/B276)</x:f>
        <x:v>572.6666666666666</x:v>
      </x:c>
      <x:c r="E276" s="26" t="n">
        <x:f>IF(D276=0,0,D276/MAX($D$6:$D$337))</x:f>
        <x:v>0.4097165440174434</x:v>
      </x:c>
      <x:c r="F276" s="26" t="n">
        <x:f>IF(B276=0,0,B276/MAX($B$6:$B$337))</x:f>
        <x:v>0.32142857142857145</x:v>
      </x:c>
      <x:c r="G276" s="26" t="n">
        <x:f>'Resumen'!$B$9*E276+'Resumen'!$B$10*F276</x:f>
        <x:v>0.3832301522407818</x:v>
      </x:c>
      <x:c r="H276" s="8" t="n">
        <x:v>76103.17</x:v>
      </x:c>
      <x:c r="I276" s="8" t="n">
        <x:v>68544.29</x:v>
      </x:c>
      <x:c r="J276" s="8" t="n">
        <x:f>MAX(H276-I276,0)</x:f>
        <x:v>7558.880000000005</x:v>
      </x:c>
      <x:c r="K276" s="8" t="n">
        <x:f>J276*G276</x:f>
        <x:v>2896.7907331698025</x:v>
      </x:c>
      <x:c r="L276" s="8" t="n">
        <x:f>IFERROR('Resumen'!$B$14*K276/SUM($K$6:$K$337),0)</x:f>
        <x:v>2098.2281843966302</x:v>
      </x:c>
      <x:c r="M276" s="8" t="n">
        <x:f>I276+L276</x:f>
        <x:v>70642.51818439663</x:v>
      </x:c>
      <x:c r="N276" s="8" t="n">
        <x:v>0</x:v>
      </x:c>
      <x:c r="O276" s="8" t="n">
        <x:f>N276*'Resumen'!$B$8</x:f>
        <x:v>0</x:v>
      </x:c>
      <x:c r="P276" s="8" t="n">
        <x:f>M276+O276</x:f>
        <x:v>70642.51818439663</x:v>
      </x:c>
      <x:c r="Q276" s="8" t="n">
        <x:f>P276-H276</x:f>
        <x:v>-5460.651815603371</x:v>
      </x:c>
      <x:c r="R276" s="8" t="n">
        <x:v>0</x:v>
      </x:c>
      <x:c r="S276" s="8" t="n">
        <x:f>R276*'Resumen'!$B$8</x:f>
        <x:v>0</x:v>
      </x:c>
      <x:c r="T276" s="8" t="n">
        <x:f>M276+S276</x:f>
        <x:v>70642.51818439663</x:v>
      </x:c>
      <x:c r="U276" s="8" t="n">
        <x:f>T276-H276</x:f>
        <x:v>-5460.651815603371</x:v>
      </x:c>
      <x:c r="V276" s="27" t="n">
        <x:v>0</x:v>
      </x:c>
    </x:row>
    <x:row r="277">
      <x:c r="A277" s="28" t="str">
        <x:v>153004</x:v>
      </x:c>
      <x:c r="B277" s="25" t="n">
        <x:v>1</x:v>
      </x:c>
      <x:c r="C277" s="25" t="n">
        <x:v>0</x:v>
      </x:c>
      <x:c r="D277" s="25" t="n">
        <x:f>IF(B277=0,0,C277/B277)</x:f>
        <x:v>0</x:v>
      </x:c>
      <x:c r="E277" s="26" t="n">
        <x:f>IF(D277=0,0,D277/MAX($D$6:$D$337))</x:f>
        <x:v>0</x:v>
      </x:c>
      <x:c r="F277" s="26" t="n">
        <x:f>IF(B277=0,0,B277/MAX($B$6:$B$337))</x:f>
        <x:v>0.03571428571428571</x:v>
      </x:c>
      <x:c r="G277" s="26" t="n">
        <x:f>'Resumen'!$B$9*E277+'Resumen'!$B$10*F277</x:f>
        <x:v>0.010714285714285713</x:v>
      </x:c>
      <x:c r="H277" s="8" t="n">
        <x:v>0</x:v>
      </x:c>
      <x:c r="I277" s="8" t="n">
        <x:v>0</x:v>
      </x:c>
      <x:c r="J277" s="8" t="n">
        <x:f>MAX(H277-I277,0)</x:f>
        <x:v>0</x:v>
      </x:c>
      <x:c r="K277" s="8" t="n">
        <x:f>J277*G277</x:f>
        <x:v>0</x:v>
      </x:c>
      <x:c r="L277" s="8" t="n">
        <x:f>IFERROR('Resumen'!$B$14*K277/SUM($K$6:$K$337),0)</x:f>
        <x:v>0</x:v>
      </x:c>
      <x:c r="M277" s="8" t="n">
        <x:f>I277+L277</x:f>
        <x:v>0</x:v>
      </x:c>
      <x:c r="N277" s="8" t="n">
        <x:v>0</x:v>
      </x:c>
      <x:c r="O277" s="8" t="n">
        <x:f>N277*'Resumen'!$B$8</x:f>
        <x:v>0</x:v>
      </x:c>
      <x:c r="P277" s="8" t="n">
        <x:f>M277+O277</x:f>
        <x:v>0</x:v>
      </x:c>
      <x:c r="Q277" s="8" t="n">
        <x:f>P277-H277</x:f>
        <x:v>0</x:v>
      </x:c>
      <x:c r="R277" s="8" t="n">
        <x:v>0</x:v>
      </x:c>
      <x:c r="S277" s="8" t="n">
        <x:f>R277*'Resumen'!$B$8</x:f>
        <x:v>0</x:v>
      </x:c>
      <x:c r="T277" s="8" t="n">
        <x:f>M277+S277</x:f>
        <x:v>0</x:v>
      </x:c>
      <x:c r="U277" s="8" t="n">
        <x:f>T277-H277</x:f>
        <x:v>0</x:v>
      </x:c>
      <x:c r="V277" s="27" t="n">
        <x:v>0</x:v>
      </x:c>
    </x:row>
    <x:row r="278">
      <x:c r="A278" s="28" t="str">
        <x:v>190367</x:v>
      </x:c>
      <x:c r="B278" s="25" t="n">
        <x:v>6</x:v>
      </x:c>
      <x:c r="C278" s="25" t="n">
        <x:v>3889</x:v>
      </x:c>
      <x:c r="D278" s="25" t="n">
        <x:f>IF(B278=0,0,C278/B278)</x:f>
        <x:v>648.1666666666666</x:v>
      </x:c>
      <x:c r="E278" s="26" t="n">
        <x:f>IF(D278=0,0,D278/MAX($D$6:$D$337))</x:f>
        <x:v>0.4637333060779503</x:v>
      </x:c>
      <x:c r="F278" s="26" t="n">
        <x:f>IF(B278=0,0,B278/MAX($B$6:$B$337))</x:f>
        <x:v>0.21428571428571427</x:v>
      </x:c>
      <x:c r="G278" s="26" t="n">
        <x:f>'Resumen'!$B$9*E278+'Resumen'!$B$10*F278</x:f>
        <x:v>0.38889902854027947</x:v>
      </x:c>
      <x:c r="H278" s="8" t="n">
        <x:v>39635.26</x:v>
      </x:c>
      <x:c r="I278" s="8" t="n">
        <x:v>20561.079999999998</x:v>
      </x:c>
      <x:c r="J278" s="8" t="n">
        <x:f>MAX(H278-I278,0)</x:f>
        <x:v>19074.180000000004</x:v>
      </x:c>
      <x:c r="K278" s="8" t="n">
        <x:f>J278*G278</x:f>
        <x:v>7417.930072202429</x:v>
      </x:c>
      <x:c r="L278" s="8" t="n">
        <x:f>IFERROR('Resumen'!$B$14*K278/SUM($K$6:$K$337),0)</x:f>
        <x:v>5373.018412809909</x:v>
      </x:c>
      <x:c r="M278" s="8" t="n">
        <x:f>I278+L278</x:f>
        <x:v>25934.098412809908</x:v>
      </x:c>
      <x:c r="N278" s="8" t="n">
        <x:v>0</x:v>
      </x:c>
      <x:c r="O278" s="8" t="n">
        <x:f>N278*'Resumen'!$B$8</x:f>
        <x:v>0</x:v>
      </x:c>
      <x:c r="P278" s="8" t="n">
        <x:f>M278+O278</x:f>
        <x:v>25934.098412809908</x:v>
      </x:c>
      <x:c r="Q278" s="8" t="n">
        <x:f>P278-H278</x:f>
        <x:v>-13701.161587190094</x:v>
      </x:c>
      <x:c r="R278" s="8" t="n">
        <x:v>0</x:v>
      </x:c>
      <x:c r="S278" s="8" t="n">
        <x:f>R278*'Resumen'!$B$8</x:f>
        <x:v>0</x:v>
      </x:c>
      <x:c r="T278" s="8" t="n">
        <x:f>M278+S278</x:f>
        <x:v>25934.098412809908</x:v>
      </x:c>
      <x:c r="U278" s="8" t="n">
        <x:f>T278-H278</x:f>
        <x:v>-13701.161587190094</x:v>
      </x:c>
      <x:c r="V278" s="27" t="n">
        <x:v>0</x:v>
      </x:c>
    </x:row>
    <x:row r="279">
      <x:c r="A279" s="28" t="str">
        <x:v>82795</x:v>
      </x:c>
      <x:c r="B279" s="25" t="n">
        <x:v>3</x:v>
      </x:c>
      <x:c r="C279" s="25" t="n">
        <x:v>0</x:v>
      </x:c>
      <x:c r="D279" s="25" t="n">
        <x:f>IF(B279=0,0,C279/B279)</x:f>
        <x:v>0</x:v>
      </x:c>
      <x:c r="E279" s="26" t="n">
        <x:f>IF(D279=0,0,D279/MAX($D$6:$D$337))</x:f>
        <x:v>0</x:v>
      </x:c>
      <x:c r="F279" s="26" t="n">
        <x:f>IF(B279=0,0,B279/MAX($B$6:$B$337))</x:f>
        <x:v>0.10714285714285714</x:v>
      </x:c>
      <x:c r="G279" s="26" t="n">
        <x:f>'Resumen'!$B$9*E279+'Resumen'!$B$10*F279</x:f>
        <x:v>0.03214285714285714</x:v>
      </x:c>
      <x:c r="H279" s="8" t="n">
        <x:v>0</x:v>
      </x:c>
      <x:c r="I279" s="8" t="n">
        <x:v>0</x:v>
      </x:c>
      <x:c r="J279" s="8" t="n">
        <x:f>MAX(H279-I279,0)</x:f>
        <x:v>0</x:v>
      </x:c>
      <x:c r="K279" s="8" t="n">
        <x:f>J279*G279</x:f>
        <x:v>0</x:v>
      </x:c>
      <x:c r="L279" s="8" t="n">
        <x:f>IFERROR('Resumen'!$B$14*K279/SUM($K$6:$K$337),0)</x:f>
        <x:v>0</x:v>
      </x:c>
      <x:c r="M279" s="8" t="n">
        <x:f>I279+L279</x:f>
        <x:v>0</x:v>
      </x:c>
      <x:c r="N279" s="8" t="n">
        <x:v>0</x:v>
      </x:c>
      <x:c r="O279" s="8" t="n">
        <x:f>N279*'Resumen'!$B$8</x:f>
        <x:v>0</x:v>
      </x:c>
      <x:c r="P279" s="8" t="n">
        <x:f>M279+O279</x:f>
        <x:v>0</x:v>
      </x:c>
      <x:c r="Q279" s="8" t="n">
        <x:f>P279-H279</x:f>
        <x:v>0</x:v>
      </x:c>
      <x:c r="R279" s="8" t="n">
        <x:v>0</x:v>
      </x:c>
      <x:c r="S279" s="8" t="n">
        <x:f>R279*'Resumen'!$B$8</x:f>
        <x:v>0</x:v>
      </x:c>
      <x:c r="T279" s="8" t="n">
        <x:f>M279+S279</x:f>
        <x:v>0</x:v>
      </x:c>
      <x:c r="U279" s="8" t="n">
        <x:f>T279-H279</x:f>
        <x:v>0</x:v>
      </x:c>
      <x:c r="V279" s="27" t="n">
        <x:v>0</x:v>
      </x:c>
    </x:row>
    <x:row r="280">
      <x:c r="A280" s="28" t="str">
        <x:v>186680</x:v>
      </x:c>
      <x:c r="B280" s="25" t="n">
        <x:v>1</x:v>
      </x:c>
      <x:c r="C280" s="25" t="n">
        <x:v>243</x:v>
      </x:c>
      <x:c r="D280" s="25" t="n">
        <x:f>IF(B280=0,0,C280/B280)</x:f>
        <x:v>243</x:v>
      </x:c>
      <x:c r="E280" s="26" t="n">
        <x:f>IF(D280=0,0,D280/MAX($D$6:$D$337))</x:f>
        <x:v>0.17385527391659852</x:v>
      </x:c>
      <x:c r="F280" s="26" t="n">
        <x:f>IF(B280=0,0,B280/MAX($B$6:$B$337))</x:f>
        <x:v>0.03571428571428571</x:v>
      </x:c>
      <x:c r="G280" s="26" t="n">
        <x:f>'Resumen'!$B$9*E280+'Resumen'!$B$10*F280</x:f>
        <x:v>0.13241297745590466</x:v>
      </x:c>
      <x:c r="H280" s="8" t="n">
        <x:v>0</x:v>
      </x:c>
      <x:c r="I280" s="8" t="n">
        <x:v>938.98</x:v>
      </x:c>
      <x:c r="J280" s="8" t="n">
        <x:f>MAX(H280-I280,0)</x:f>
        <x:v>0</x:v>
      </x:c>
      <x:c r="K280" s="8" t="n">
        <x:f>J280*G280</x:f>
        <x:v>0</x:v>
      </x:c>
      <x:c r="L280" s="8" t="n">
        <x:f>IFERROR('Resumen'!$B$14*K280/SUM($K$6:$K$337),0)</x:f>
        <x:v>0</x:v>
      </x:c>
      <x:c r="M280" s="8" t="n">
        <x:f>I280+L280</x:f>
        <x:v>938.98</x:v>
      </x:c>
      <x:c r="N280" s="8" t="n">
        <x:v>0</x:v>
      </x:c>
      <x:c r="O280" s="8" t="n">
        <x:f>N280*'Resumen'!$B$8</x:f>
        <x:v>0</x:v>
      </x:c>
      <x:c r="P280" s="8" t="n">
        <x:f>M280+O280</x:f>
        <x:v>938.98</x:v>
      </x:c>
      <x:c r="Q280" s="8" t="n">
        <x:f>P280-H280</x:f>
        <x:v>938.98</x:v>
      </x:c>
      <x:c r="R280" s="8" t="n">
        <x:v>0</x:v>
      </x:c>
      <x:c r="S280" s="8" t="n">
        <x:f>R280*'Resumen'!$B$8</x:f>
        <x:v>0</x:v>
      </x:c>
      <x:c r="T280" s="8" t="n">
        <x:f>M280+S280</x:f>
        <x:v>938.98</x:v>
      </x:c>
      <x:c r="U280" s="8" t="n">
        <x:f>T280-H280</x:f>
        <x:v>938.98</x:v>
      </x:c>
      <x:c r="V280" s="27" t="n">
        <x:v>0</x:v>
      </x:c>
    </x:row>
    <x:row r="281">
      <x:c r="A281" s="28" t="str">
        <x:v>195118</x:v>
      </x:c>
      <x:c r="B281" s="25" t="n">
        <x:v>1</x:v>
      </x:c>
      <x:c r="C281" s="25" t="n">
        <x:v>0</x:v>
      </x:c>
      <x:c r="D281" s="25" t="n">
        <x:f>IF(B281=0,0,C281/B281)</x:f>
        <x:v>0</x:v>
      </x:c>
      <x:c r="E281" s="26" t="n">
        <x:f>IF(D281=0,0,D281/MAX($D$6:$D$337))</x:f>
        <x:v>0</x:v>
      </x:c>
      <x:c r="F281" s="26" t="n">
        <x:f>IF(B281=0,0,B281/MAX($B$6:$B$337))</x:f>
        <x:v>0.03571428571428571</x:v>
      </x:c>
      <x:c r="G281" s="26" t="n">
        <x:f>'Resumen'!$B$9*E281+'Resumen'!$B$10*F281</x:f>
        <x:v>0.010714285714285713</x:v>
      </x:c>
      <x:c r="H281" s="8" t="n">
        <x:v>0</x:v>
      </x:c>
      <x:c r="I281" s="8" t="n">
        <x:v>0</x:v>
      </x:c>
      <x:c r="J281" s="8" t="n">
        <x:f>MAX(H281-I281,0)</x:f>
        <x:v>0</x:v>
      </x:c>
      <x:c r="K281" s="8" t="n">
        <x:f>J281*G281</x:f>
        <x:v>0</x:v>
      </x:c>
      <x:c r="L281" s="8" t="n">
        <x:f>IFERROR('Resumen'!$B$14*K281/SUM($K$6:$K$337),0)</x:f>
        <x:v>0</x:v>
      </x:c>
      <x:c r="M281" s="8" t="n">
        <x:f>I281+L281</x:f>
        <x:v>0</x:v>
      </x:c>
      <x:c r="N281" s="8" t="n">
        <x:v>0</x:v>
      </x:c>
      <x:c r="O281" s="8" t="n">
        <x:f>N281*'Resumen'!$B$8</x:f>
        <x:v>0</x:v>
      </x:c>
      <x:c r="P281" s="8" t="n">
        <x:f>M281+O281</x:f>
        <x:v>0</x:v>
      </x:c>
      <x:c r="Q281" s="8" t="n">
        <x:f>P281-H281</x:f>
        <x:v>0</x:v>
      </x:c>
      <x:c r="R281" s="8" t="n">
        <x:v>0</x:v>
      </x:c>
      <x:c r="S281" s="8" t="n">
        <x:f>R281*'Resumen'!$B$8</x:f>
        <x:v>0</x:v>
      </x:c>
      <x:c r="T281" s="8" t="n">
        <x:f>M281+S281</x:f>
        <x:v>0</x:v>
      </x:c>
      <x:c r="U281" s="8" t="n">
        <x:f>T281-H281</x:f>
        <x:v>0</x:v>
      </x:c>
      <x:c r="V281" s="27" t="n">
        <x:v>0</x:v>
      </x:c>
    </x:row>
    <x:row r="282">
      <x:c r="A282" s="28" t="str">
        <x:v>134967</x:v>
      </x:c>
      <x:c r="B282" s="25" t="n">
        <x:v>2</x:v>
      </x:c>
      <x:c r="C282" s="25" t="n">
        <x:v>0</x:v>
      </x:c>
      <x:c r="D282" s="25" t="n">
        <x:f>IF(B282=0,0,C282/B282)</x:f>
        <x:v>0</x:v>
      </x:c>
      <x:c r="E282" s="26" t="n">
        <x:f>IF(D282=0,0,D282/MAX($D$6:$D$337))</x:f>
        <x:v>0</x:v>
      </x:c>
      <x:c r="F282" s="26" t="n">
        <x:f>IF(B282=0,0,B282/MAX($B$6:$B$337))</x:f>
        <x:v>0.07142857142857142</x:v>
      </x:c>
      <x:c r="G282" s="26" t="n">
        <x:f>'Resumen'!$B$9*E282+'Resumen'!$B$10*F282</x:f>
        <x:v>0.021428571428571425</x:v>
      </x:c>
      <x:c r="H282" s="8" t="n">
        <x:v>0</x:v>
      </x:c>
      <x:c r="I282" s="8" t="n">
        <x:v>0</x:v>
      </x:c>
      <x:c r="J282" s="8" t="n">
        <x:f>MAX(H282-I282,0)</x:f>
        <x:v>0</x:v>
      </x:c>
      <x:c r="K282" s="8" t="n">
        <x:f>J282*G282</x:f>
        <x:v>0</x:v>
      </x:c>
      <x:c r="L282" s="8" t="n">
        <x:f>IFERROR('Resumen'!$B$14*K282/SUM($K$6:$K$337),0)</x:f>
        <x:v>0</x:v>
      </x:c>
      <x:c r="M282" s="8" t="n">
        <x:f>I282+L282</x:f>
        <x:v>0</x:v>
      </x:c>
      <x:c r="N282" s="8" t="n">
        <x:v>0</x:v>
      </x:c>
      <x:c r="O282" s="8" t="n">
        <x:f>N282*'Resumen'!$B$8</x:f>
        <x:v>0</x:v>
      </x:c>
      <x:c r="P282" s="8" t="n">
        <x:f>M282+O282</x:f>
        <x:v>0</x:v>
      </x:c>
      <x:c r="Q282" s="8" t="n">
        <x:f>P282-H282</x:f>
        <x:v>0</x:v>
      </x:c>
      <x:c r="R282" s="8" t="n">
        <x:v>0</x:v>
      </x:c>
      <x:c r="S282" s="8" t="n">
        <x:f>R282*'Resumen'!$B$8</x:f>
        <x:v>0</x:v>
      </x:c>
      <x:c r="T282" s="8" t="n">
        <x:f>M282+S282</x:f>
        <x:v>0</x:v>
      </x:c>
      <x:c r="U282" s="8" t="n">
        <x:f>T282-H282</x:f>
        <x:v>0</x:v>
      </x:c>
      <x:c r="V282" s="27" t="n">
        <x:v>0</x:v>
      </x:c>
    </x:row>
    <x:row r="283">
      <x:c r="A283" s="28" t="str">
        <x:v>198872</x:v>
      </x:c>
      <x:c r="B283" s="25" t="n">
        <x:v>1</x:v>
      </x:c>
      <x:c r="C283" s="25" t="n">
        <x:v>0</x:v>
      </x:c>
      <x:c r="D283" s="25" t="n">
        <x:f>IF(B283=0,0,C283/B283)</x:f>
        <x:v>0</x:v>
      </x:c>
      <x:c r="E283" s="26" t="n">
        <x:f>IF(D283=0,0,D283/MAX($D$6:$D$337))</x:f>
        <x:v>0</x:v>
      </x:c>
      <x:c r="F283" s="26" t="n">
        <x:f>IF(B283=0,0,B283/MAX($B$6:$B$337))</x:f>
        <x:v>0.03571428571428571</x:v>
      </x:c>
      <x:c r="G283" s="26" t="n">
        <x:f>'Resumen'!$B$9*E283+'Resumen'!$B$10*F283</x:f>
        <x:v>0.010714285714285713</x:v>
      </x:c>
      <x:c r="H283" s="8" t="n">
        <x:v>0</x:v>
      </x:c>
      <x:c r="I283" s="8" t="n">
        <x:v>0</x:v>
      </x:c>
      <x:c r="J283" s="8" t="n">
        <x:f>MAX(H283-I283,0)</x:f>
        <x:v>0</x:v>
      </x:c>
      <x:c r="K283" s="8" t="n">
        <x:f>J283*G283</x:f>
        <x:v>0</x:v>
      </x:c>
      <x:c r="L283" s="8" t="n">
        <x:f>IFERROR('Resumen'!$B$14*K283/SUM($K$6:$K$337),0)</x:f>
        <x:v>0</x:v>
      </x:c>
      <x:c r="M283" s="8" t="n">
        <x:f>I283+L283</x:f>
        <x:v>0</x:v>
      </x:c>
      <x:c r="N283" s="8" t="n">
        <x:v>0</x:v>
      </x:c>
      <x:c r="O283" s="8" t="n">
        <x:f>N283*'Resumen'!$B$8</x:f>
        <x:v>0</x:v>
      </x:c>
      <x:c r="P283" s="8" t="n">
        <x:f>M283+O283</x:f>
        <x:v>0</x:v>
      </x:c>
      <x:c r="Q283" s="8" t="n">
        <x:f>P283-H283</x:f>
        <x:v>0</x:v>
      </x:c>
      <x:c r="R283" s="8" t="n">
        <x:v>0</x:v>
      </x:c>
      <x:c r="S283" s="8" t="n">
        <x:f>R283*'Resumen'!$B$8</x:f>
        <x:v>0</x:v>
      </x:c>
      <x:c r="T283" s="8" t="n">
        <x:f>M283+S283</x:f>
        <x:v>0</x:v>
      </x:c>
      <x:c r="U283" s="8" t="n">
        <x:f>T283-H283</x:f>
        <x:v>0</x:v>
      </x:c>
      <x:c r="V283" s="27" t="n">
        <x:v>0</x:v>
      </x:c>
    </x:row>
    <x:row r="284">
      <x:c r="A284" s="28" t="str">
        <x:v>109211</x:v>
      </x:c>
      <x:c r="B284" s="25" t="n">
        <x:v>1</x:v>
      </x:c>
      <x:c r="C284" s="25" t="n">
        <x:v>0</x:v>
      </x:c>
      <x:c r="D284" s="25" t="n">
        <x:f>IF(B284=0,0,C284/B284)</x:f>
        <x:v>0</x:v>
      </x:c>
      <x:c r="E284" s="26" t="n">
        <x:f>IF(D284=0,0,D284/MAX($D$6:$D$337))</x:f>
        <x:v>0</x:v>
      </x:c>
      <x:c r="F284" s="26" t="n">
        <x:f>IF(B284=0,0,B284/MAX($B$6:$B$337))</x:f>
        <x:v>0.03571428571428571</x:v>
      </x:c>
      <x:c r="G284" s="26" t="n">
        <x:f>'Resumen'!$B$9*E284+'Resumen'!$B$10*F284</x:f>
        <x:v>0.010714285714285713</x:v>
      </x:c>
      <x:c r="H284" s="8" t="n">
        <x:v>0</x:v>
      </x:c>
      <x:c r="I284" s="8" t="n">
        <x:v>0</x:v>
      </x:c>
      <x:c r="J284" s="8" t="n">
        <x:f>MAX(H284-I284,0)</x:f>
        <x:v>0</x:v>
      </x:c>
      <x:c r="K284" s="8" t="n">
        <x:f>J284*G284</x:f>
        <x:v>0</x:v>
      </x:c>
      <x:c r="L284" s="8" t="n">
        <x:f>IFERROR('Resumen'!$B$14*K284/SUM($K$6:$K$337),0)</x:f>
        <x:v>0</x:v>
      </x:c>
      <x:c r="M284" s="8" t="n">
        <x:f>I284+L284</x:f>
        <x:v>0</x:v>
      </x:c>
      <x:c r="N284" s="8" t="n">
        <x:v>0</x:v>
      </x:c>
      <x:c r="O284" s="8" t="n">
        <x:f>N284*'Resumen'!$B$8</x:f>
        <x:v>0</x:v>
      </x:c>
      <x:c r="P284" s="8" t="n">
        <x:f>M284+O284</x:f>
        <x:v>0</x:v>
      </x:c>
      <x:c r="Q284" s="8" t="n">
        <x:f>P284-H284</x:f>
        <x:v>0</x:v>
      </x:c>
      <x:c r="R284" s="8" t="n">
        <x:v>0</x:v>
      </x:c>
      <x:c r="S284" s="8" t="n">
        <x:f>R284*'Resumen'!$B$8</x:f>
        <x:v>0</x:v>
      </x:c>
      <x:c r="T284" s="8" t="n">
        <x:f>M284+S284</x:f>
        <x:v>0</x:v>
      </x:c>
      <x:c r="U284" s="8" t="n">
        <x:f>T284-H284</x:f>
        <x:v>0</x:v>
      </x:c>
      <x:c r="V284" s="27" t="n">
        <x:v>0</x:v>
      </x:c>
    </x:row>
    <x:row r="285">
      <x:c r="A285" s="28" t="str">
        <x:v>67834</x:v>
      </x:c>
      <x:c r="B285" s="25" t="n">
        <x:v>1</x:v>
      </x:c>
      <x:c r="C285" s="25" t="n">
        <x:v>0</x:v>
      </x:c>
      <x:c r="D285" s="25" t="n">
        <x:f>IF(B285=0,0,C285/B285)</x:f>
        <x:v>0</x:v>
      </x:c>
      <x:c r="E285" s="26" t="n">
        <x:f>IF(D285=0,0,D285/MAX($D$6:$D$337))</x:f>
        <x:v>0</x:v>
      </x:c>
      <x:c r="F285" s="26" t="n">
        <x:f>IF(B285=0,0,B285/MAX($B$6:$B$337))</x:f>
        <x:v>0.03571428571428571</x:v>
      </x:c>
      <x:c r="G285" s="26" t="n">
        <x:f>'Resumen'!$B$9*E285+'Resumen'!$B$10*F285</x:f>
        <x:v>0.010714285714285713</x:v>
      </x:c>
      <x:c r="H285" s="8" t="n">
        <x:v>0</x:v>
      </x:c>
      <x:c r="I285" s="8" t="n">
        <x:v>0</x:v>
      </x:c>
      <x:c r="J285" s="8" t="n">
        <x:f>MAX(H285-I285,0)</x:f>
        <x:v>0</x:v>
      </x:c>
      <x:c r="K285" s="8" t="n">
        <x:f>J285*G285</x:f>
        <x:v>0</x:v>
      </x:c>
      <x:c r="L285" s="8" t="n">
        <x:f>IFERROR('Resumen'!$B$14*K285/SUM($K$6:$K$337),0)</x:f>
        <x:v>0</x:v>
      </x:c>
      <x:c r="M285" s="8" t="n">
        <x:f>I285+L285</x:f>
        <x:v>0</x:v>
      </x:c>
      <x:c r="N285" s="8" t="n">
        <x:v>0</x:v>
      </x:c>
      <x:c r="O285" s="8" t="n">
        <x:f>N285*'Resumen'!$B$8</x:f>
        <x:v>0</x:v>
      </x:c>
      <x:c r="P285" s="8" t="n">
        <x:f>M285+O285</x:f>
        <x:v>0</x:v>
      </x:c>
      <x:c r="Q285" s="8" t="n">
        <x:f>P285-H285</x:f>
        <x:v>0</x:v>
      </x:c>
      <x:c r="R285" s="8" t="n">
        <x:v>0</x:v>
      </x:c>
      <x:c r="S285" s="8" t="n">
        <x:f>R285*'Resumen'!$B$8</x:f>
        <x:v>0</x:v>
      </x:c>
      <x:c r="T285" s="8" t="n">
        <x:f>M285+S285</x:f>
        <x:v>0</x:v>
      </x:c>
      <x:c r="U285" s="8" t="n">
        <x:f>T285-H285</x:f>
        <x:v>0</x:v>
      </x:c>
      <x:c r="V285" s="27" t="n">
        <x:v>0</x:v>
      </x:c>
    </x:row>
    <x:row r="286">
      <x:c r="A286" s="28" t="str">
        <x:v>171813</x:v>
      </x:c>
      <x:c r="B286" s="25" t="n">
        <x:v>2</x:v>
      </x:c>
      <x:c r="C286" s="25" t="n">
        <x:v>0</x:v>
      </x:c>
      <x:c r="D286" s="25" t="n">
        <x:f>IF(B286=0,0,C286/B286)</x:f>
        <x:v>0</x:v>
      </x:c>
      <x:c r="E286" s="26" t="n">
        <x:f>IF(D286=0,0,D286/MAX($D$6:$D$337))</x:f>
        <x:v>0</x:v>
      </x:c>
      <x:c r="F286" s="26" t="n">
        <x:f>IF(B286=0,0,B286/MAX($B$6:$B$337))</x:f>
        <x:v>0.07142857142857142</x:v>
      </x:c>
      <x:c r="G286" s="26" t="n">
        <x:f>'Resumen'!$B$9*E286+'Resumen'!$B$10*F286</x:f>
        <x:v>0.021428571428571425</x:v>
      </x:c>
      <x:c r="H286" s="8" t="n">
        <x:v>0</x:v>
      </x:c>
      <x:c r="I286" s="8" t="n">
        <x:v>0</x:v>
      </x:c>
      <x:c r="J286" s="8" t="n">
        <x:f>MAX(H286-I286,0)</x:f>
        <x:v>0</x:v>
      </x:c>
      <x:c r="K286" s="8" t="n">
        <x:f>J286*G286</x:f>
        <x:v>0</x:v>
      </x:c>
      <x:c r="L286" s="8" t="n">
        <x:f>IFERROR('Resumen'!$B$14*K286/SUM($K$6:$K$337),0)</x:f>
        <x:v>0</x:v>
      </x:c>
      <x:c r="M286" s="8" t="n">
        <x:f>I286+L286</x:f>
        <x:v>0</x:v>
      </x:c>
      <x:c r="N286" s="8" t="n">
        <x:v>0</x:v>
      </x:c>
      <x:c r="O286" s="8" t="n">
        <x:f>N286*'Resumen'!$B$8</x:f>
        <x:v>0</x:v>
      </x:c>
      <x:c r="P286" s="8" t="n">
        <x:f>M286+O286</x:f>
        <x:v>0</x:v>
      </x:c>
      <x:c r="Q286" s="8" t="n">
        <x:f>P286-H286</x:f>
        <x:v>0</x:v>
      </x:c>
      <x:c r="R286" s="8" t="n">
        <x:v>0</x:v>
      </x:c>
      <x:c r="S286" s="8" t="n">
        <x:f>R286*'Resumen'!$B$8</x:f>
        <x:v>0</x:v>
      </x:c>
      <x:c r="T286" s="8" t="n">
        <x:f>M286+S286</x:f>
        <x:v>0</x:v>
      </x:c>
      <x:c r="U286" s="8" t="n">
        <x:f>T286-H286</x:f>
        <x:v>0</x:v>
      </x:c>
      <x:c r="V286" s="27" t="n">
        <x:v>0</x:v>
      </x:c>
    </x:row>
    <x:row r="287">
      <x:c r="A287" s="28" t="str">
        <x:v>735192</x:v>
      </x:c>
      <x:c r="B287" s="25" t="n">
        <x:v>6</x:v>
      </x:c>
      <x:c r="C287" s="25" t="n">
        <x:v>4892</x:v>
      </x:c>
      <x:c r="D287" s="25" t="n">
        <x:f>IF(B287=0,0,C287/B287)</x:f>
        <x:v>815.3333333333334</x:v>
      </x:c>
      <x:c r="E287" s="26" t="n">
        <x:f>IF(D287=0,0,D287/MAX($D$6:$D$337))</x:f>
        <x:v>0.5833333333333334</x:v>
      </x:c>
      <x:c r="F287" s="26" t="n">
        <x:f>IF(B287=0,0,B287/MAX($B$6:$B$337))</x:f>
        <x:v>0.21428571428571427</x:v>
      </x:c>
      <x:c r="G287" s="26" t="n">
        <x:f>'Resumen'!$B$9*E287+'Resumen'!$B$10*F287</x:f>
        <x:v>0.4726190476190476</x:v>
      </x:c>
      <x:c r="H287" s="8" t="n">
        <x:v>24654.68</x:v>
      </x:c>
      <x:c r="I287" s="8" t="n">
        <x:v>45805.2</x:v>
      </x:c>
      <x:c r="J287" s="8" t="n">
        <x:f>MAX(H287-I287,0)</x:f>
        <x:v>0</x:v>
      </x:c>
      <x:c r="K287" s="8" t="n">
        <x:f>J287*G287</x:f>
        <x:v>0</x:v>
      </x:c>
      <x:c r="L287" s="8" t="n">
        <x:f>IFERROR('Resumen'!$B$14*K287/SUM($K$6:$K$337),0)</x:f>
        <x:v>0</x:v>
      </x:c>
      <x:c r="M287" s="8" t="n">
        <x:f>I287+L287</x:f>
        <x:v>45805.2</x:v>
      </x:c>
      <x:c r="N287" s="8" t="n">
        <x:v>0</x:v>
      </x:c>
      <x:c r="O287" s="8" t="n">
        <x:f>N287*'Resumen'!$B$8</x:f>
        <x:v>0</x:v>
      </x:c>
      <x:c r="P287" s="8" t="n">
        <x:f>M287+O287</x:f>
        <x:v>45805.2</x:v>
      </x:c>
      <x:c r="Q287" s="8" t="n">
        <x:f>P287-H287</x:f>
        <x:v>21150.519999999997</x:v>
      </x:c>
      <x:c r="R287" s="8" t="n">
        <x:v>0</x:v>
      </x:c>
      <x:c r="S287" s="8" t="n">
        <x:f>R287*'Resumen'!$B$8</x:f>
        <x:v>0</x:v>
      </x:c>
      <x:c r="T287" s="8" t="n">
        <x:f>M287+S287</x:f>
        <x:v>45805.2</x:v>
      </x:c>
      <x:c r="U287" s="8" t="n">
        <x:f>T287-H287</x:f>
        <x:v>21150.519999999997</x:v>
      </x:c>
      <x:c r="V287" s="27" t="n">
        <x:v>0</x:v>
      </x:c>
    </x:row>
    <x:row r="288">
      <x:c r="A288" s="28" t="str">
        <x:v>735242</x:v>
      </x:c>
      <x:c r="B288" s="25" t="n">
        <x:v>8</x:v>
      </x:c>
      <x:c r="C288" s="25" t="n">
        <x:v>8694</x:v>
      </x:c>
      <x:c r="D288" s="25" t="n">
        <x:f>IF(B288=0,0,C288/B288)</x:f>
        <x:v>1086.75</x:v>
      </x:c>
      <x:c r="E288" s="26" t="n">
        <x:f>IF(D288=0,0,D288/MAX($D$6:$D$337))</x:f>
        <x:v>0.7775194194603434</x:v>
      </x:c>
      <x:c r="F288" s="26" t="n">
        <x:f>IF(B288=0,0,B288/MAX($B$6:$B$337))</x:f>
        <x:v>0.2857142857142857</x:v>
      </x:c>
      <x:c r="G288" s="26" t="n">
        <x:f>'Resumen'!$B$9*E288+'Resumen'!$B$10*F288</x:f>
        <x:v>0.629977879336526</x:v>
      </x:c>
      <x:c r="H288" s="8" t="n">
        <x:v>110969.46999999999</x:v>
      </x:c>
      <x:c r="I288" s="8" t="n">
        <x:v>74054.78</x:v>
      </x:c>
      <x:c r="J288" s="8" t="n">
        <x:f>MAX(H288-I288,0)</x:f>
        <x:v>36914.68999999999</x:v>
      </x:c>
      <x:c r="K288" s="8" t="n">
        <x:f>J288*G288</x:f>
        <x:v>23255.438122565258</x:v>
      </x:c>
      <x:c r="L288" s="8" t="n">
        <x:f>IFERROR('Resumen'!$B$14*K288/SUM($K$6:$K$337),0)</x:f>
        <x:v>16844.577397506477</x:v>
      </x:c>
      <x:c r="M288" s="8" t="n">
        <x:f>I288+L288</x:f>
        <x:v>90899.35739750648</x:v>
      </x:c>
      <x:c r="N288" s="8" t="n">
        <x:v>0</x:v>
      </x:c>
      <x:c r="O288" s="8" t="n">
        <x:f>N288*'Resumen'!$B$8</x:f>
        <x:v>0</x:v>
      </x:c>
      <x:c r="P288" s="8" t="n">
        <x:f>M288+O288</x:f>
        <x:v>90899.35739750648</x:v>
      </x:c>
      <x:c r="Q288" s="8" t="n">
        <x:f>P288-H288</x:f>
        <x:v>-20070.112602493507</x:v>
      </x:c>
      <x:c r="R288" s="8" t="n">
        <x:v>0</x:v>
      </x:c>
      <x:c r="S288" s="8" t="n">
        <x:f>R288*'Resumen'!$B$8</x:f>
        <x:v>0</x:v>
      </x:c>
      <x:c r="T288" s="8" t="n">
        <x:f>M288+S288</x:f>
        <x:v>90899.35739750648</x:v>
      </x:c>
      <x:c r="U288" s="8" t="n">
        <x:f>T288-H288</x:f>
        <x:v>-20070.112602493507</x:v>
      </x:c>
      <x:c r="V288" s="27" t="n">
        <x:v>0</x:v>
      </x:c>
    </x:row>
    <x:row r="289">
      <x:c r="A289" s="28" t="str">
        <x:v>116662</x:v>
      </x:c>
      <x:c r="B289" s="25" t="n">
        <x:v>1</x:v>
      </x:c>
      <x:c r="C289" s="25" t="n">
        <x:v>0</x:v>
      </x:c>
      <x:c r="D289" s="25" t="n">
        <x:f>IF(B289=0,0,C289/B289)</x:f>
        <x:v>0</x:v>
      </x:c>
      <x:c r="E289" s="26" t="n">
        <x:f>IF(D289=0,0,D289/MAX($D$6:$D$337))</x:f>
        <x:v>0</x:v>
      </x:c>
      <x:c r="F289" s="26" t="n">
        <x:f>IF(B289=0,0,B289/MAX($B$6:$B$337))</x:f>
        <x:v>0.03571428571428571</x:v>
      </x:c>
      <x:c r="G289" s="26" t="n">
        <x:f>'Resumen'!$B$9*E289+'Resumen'!$B$10*F289</x:f>
        <x:v>0.010714285714285713</x:v>
      </x:c>
      <x:c r="H289" s="8" t="n">
        <x:v>0</x:v>
      </x:c>
      <x:c r="I289" s="8" t="n">
        <x:v>0</x:v>
      </x:c>
      <x:c r="J289" s="8" t="n">
        <x:f>MAX(H289-I289,0)</x:f>
        <x:v>0</x:v>
      </x:c>
      <x:c r="K289" s="8" t="n">
        <x:f>J289*G289</x:f>
        <x:v>0</x:v>
      </x:c>
      <x:c r="L289" s="8" t="n">
        <x:f>IFERROR('Resumen'!$B$14*K289/SUM($K$6:$K$337),0)</x:f>
        <x:v>0</x:v>
      </x:c>
      <x:c r="M289" s="8" t="n">
        <x:f>I289+L289</x:f>
        <x:v>0</x:v>
      </x:c>
      <x:c r="N289" s="8" t="n">
        <x:v>0</x:v>
      </x:c>
      <x:c r="O289" s="8" t="n">
        <x:f>N289*'Resumen'!$B$8</x:f>
        <x:v>0</x:v>
      </x:c>
      <x:c r="P289" s="8" t="n">
        <x:f>M289+O289</x:f>
        <x:v>0</x:v>
      </x:c>
      <x:c r="Q289" s="8" t="n">
        <x:f>P289-H289</x:f>
        <x:v>0</x:v>
      </x:c>
      <x:c r="R289" s="8" t="n">
        <x:v>0</x:v>
      </x:c>
      <x:c r="S289" s="8" t="n">
        <x:f>R289*'Resumen'!$B$8</x:f>
        <x:v>0</x:v>
      </x:c>
      <x:c r="T289" s="8" t="n">
        <x:f>M289+S289</x:f>
        <x:v>0</x:v>
      </x:c>
      <x:c r="U289" s="8" t="n">
        <x:f>T289-H289</x:f>
        <x:v>0</x:v>
      </x:c>
      <x:c r="V289" s="27" t="n">
        <x:v>0</x:v>
      </x:c>
    </x:row>
    <x:row r="290">
      <x:c r="A290" s="28" t="str">
        <x:v>735200</x:v>
      </x:c>
      <x:c r="B290" s="25" t="n">
        <x:v>5</x:v>
      </x:c>
      <x:c r="C290" s="25" t="n">
        <x:v>4104</x:v>
      </x:c>
      <x:c r="D290" s="25" t="n">
        <x:f>IF(B290=0,0,C290/B290)</x:f>
        <x:v>820.8</x:v>
      </x:c>
      <x:c r="E290" s="26" t="n">
        <x:f>IF(D290=0,0,D290/MAX($D$6:$D$337))</x:f>
        <x:v>0.587244480784955</x:v>
      </x:c>
      <x:c r="F290" s="26" t="n">
        <x:f>IF(B290=0,0,B290/MAX($B$6:$B$337))</x:f>
        <x:v>0.17857142857142858</x:v>
      </x:c>
      <x:c r="G290" s="26" t="n">
        <x:f>'Resumen'!$B$9*E290+'Resumen'!$B$10*F290</x:f>
        <x:v>0.46464256512089697</x:v>
      </x:c>
      <x:c r="H290" s="8" t="n">
        <x:v>43952.64</x:v>
      </x:c>
      <x:c r="I290" s="8" t="n">
        <x:v>35864.850000000006</x:v>
      </x:c>
      <x:c r="J290" s="8" t="n">
        <x:f>MAX(H290-I290,0)</x:f>
        <x:v>8087.789999999994</x:v>
      </x:c>
      <x:c r="K290" s="8" t="n">
        <x:f>J290*G290</x:f>
        <x:v>3757.9314917591364</x:v>
      </x:c>
      <x:c r="L290" s="8" t="n">
        <x:f>IFERROR('Resumen'!$B$14*K290/SUM($K$6:$K$337),0)</x:f>
        <x:v>2721.9770074355915</x:v>
      </x:c>
      <x:c r="M290" s="8" t="n">
        <x:f>I290+L290</x:f>
        <x:v>38586.8270074356</x:v>
      </x:c>
      <x:c r="N290" s="8" t="n">
        <x:v>0</x:v>
      </x:c>
      <x:c r="O290" s="8" t="n">
        <x:f>N290*'Resumen'!$B$8</x:f>
        <x:v>0</x:v>
      </x:c>
      <x:c r="P290" s="8" t="n">
        <x:f>M290+O290</x:f>
        <x:v>38586.8270074356</x:v>
      </x:c>
      <x:c r="Q290" s="8" t="n">
        <x:f>P290-H290</x:f>
        <x:v>-5365.8129925644025</x:v>
      </x:c>
      <x:c r="R290" s="8" t="n">
        <x:v>0</x:v>
      </x:c>
      <x:c r="S290" s="8" t="n">
        <x:f>R290*'Resumen'!$B$8</x:f>
        <x:v>0</x:v>
      </x:c>
      <x:c r="T290" s="8" t="n">
        <x:f>M290+S290</x:f>
        <x:v>38586.8270074356</x:v>
      </x:c>
      <x:c r="U290" s="8" t="n">
        <x:f>T290-H290</x:f>
        <x:v>-5365.8129925644025</x:v>
      </x:c>
      <x:c r="V290" s="27" t="n">
        <x:v>0</x:v>
      </x:c>
    </x:row>
    <x:row r="291">
      <x:c r="A291" s="28" t="str">
        <x:v>735247</x:v>
      </x:c>
      <x:c r="B291" s="25" t="n">
        <x:v>6</x:v>
      </x:c>
      <x:c r="C291" s="25" t="n">
        <x:v>7526</x:v>
      </x:c>
      <x:c r="D291" s="25" t="n">
        <x:f>IF(B291=0,0,C291/B291)</x:f>
        <x:v>1254.3333333333333</x:v>
      </x:c>
      <x:c r="E291" s="26" t="n">
        <x:f>IF(D291=0,0,D291/MAX($D$6:$D$337))</x:f>
        <x:v>0.897417552466612</x:v>
      </x:c>
      <x:c r="F291" s="26" t="n">
        <x:f>IF(B291=0,0,B291/MAX($B$6:$B$337))</x:f>
        <x:v>0.21428571428571427</x:v>
      </x:c>
      <x:c r="G291" s="26" t="n">
        <x:f>'Resumen'!$B$9*E291+'Resumen'!$B$10*F291</x:f>
        <x:v>0.6924780010123427</x:v>
      </x:c>
      <x:c r="H291" s="8" t="n">
        <x:v>144877.57</x:v>
      </x:c>
      <x:c r="I291" s="8" t="n">
        <x:v>79772.15999999999</x:v>
      </x:c>
      <x:c r="J291" s="8" t="n">
        <x:f>MAX(H291-I291,0)</x:f>
        <x:v>65105.41000000002</x:v>
      </x:c>
      <x:c r="K291" s="8" t="n">
        <x:f>J291*G291</x:f>
        <x:v>45084.064171889</x:v>
      </x:c>
      <x:c r="L291" s="8" t="n">
        <x:f>IFERROR('Resumen'!$B$14*K291/SUM($K$6:$K$337),0)</x:f>
        <x:v>32655.674098035994</x:v>
      </x:c>
      <x:c r="M291" s="8" t="n">
        <x:f>I291+L291</x:f>
        <x:v>112427.83409803598</x:v>
      </x:c>
      <x:c r="N291" s="8" t="n">
        <x:v>0</x:v>
      </x:c>
      <x:c r="O291" s="8" t="n">
        <x:f>N291*'Resumen'!$B$8</x:f>
        <x:v>0</x:v>
      </x:c>
      <x:c r="P291" s="8" t="n">
        <x:f>M291+O291</x:f>
        <x:v>112427.83409803598</x:v>
      </x:c>
      <x:c r="Q291" s="8" t="n">
        <x:f>P291-H291</x:f>
        <x:v>-32449.735901964028</x:v>
      </x:c>
      <x:c r="R291" s="8" t="n">
        <x:v>0</x:v>
      </x:c>
      <x:c r="S291" s="8" t="n">
        <x:f>R291*'Resumen'!$B$8</x:f>
        <x:v>0</x:v>
      </x:c>
      <x:c r="T291" s="8" t="n">
        <x:f>M291+S291</x:f>
        <x:v>112427.83409803598</x:v>
      </x:c>
      <x:c r="U291" s="8" t="n">
        <x:f>T291-H291</x:f>
        <x:v>-32449.735901964028</x:v>
      </x:c>
      <x:c r="V291" s="27" t="n">
        <x:v>0</x:v>
      </x:c>
    </x:row>
    <x:row r="292">
      <x:c r="A292" s="28" t="str">
        <x:v>193092</x:v>
      </x:c>
      <x:c r="B292" s="25" t="n">
        <x:v>2</x:v>
      </x:c>
      <x:c r="C292" s="25" t="n">
        <x:v>411</x:v>
      </x:c>
      <x:c r="D292" s="25" t="n">
        <x:f>IF(B292=0,0,C292/B292)</x:f>
        <x:v>205.5</x:v>
      </x:c>
      <x:c r="E292" s="26" t="n">
        <x:f>IF(D292=0,0,D292/MAX($D$6:$D$337))</x:f>
        <x:v>0.14702575633687653</x:v>
      </x:c>
      <x:c r="F292" s="26" t="n">
        <x:f>IF(B292=0,0,B292/MAX($B$6:$B$337))</x:f>
        <x:v>0.07142857142857142</x:v>
      </x:c>
      <x:c r="G292" s="26" t="n">
        <x:f>'Resumen'!$B$9*E292+'Resumen'!$B$10*F292</x:f>
        <x:v>0.124346600864385</x:v>
      </x:c>
      <x:c r="H292" s="8" t="n">
        <x:v>0</x:v>
      </x:c>
      <x:c r="I292" s="8" t="n">
        <x:v>740.23</x:v>
      </x:c>
      <x:c r="J292" s="8" t="n">
        <x:f>MAX(H292-I292,0)</x:f>
        <x:v>0</x:v>
      </x:c>
      <x:c r="K292" s="8" t="n">
        <x:f>J292*G292</x:f>
        <x:v>0</x:v>
      </x:c>
      <x:c r="L292" s="8" t="n">
        <x:f>IFERROR('Resumen'!$B$14*K292/SUM($K$6:$K$337),0)</x:f>
        <x:v>0</x:v>
      </x:c>
      <x:c r="M292" s="8" t="n">
        <x:f>I292+L292</x:f>
        <x:v>740.23</x:v>
      </x:c>
      <x:c r="N292" s="8" t="n">
        <x:v>0</x:v>
      </x:c>
      <x:c r="O292" s="8" t="n">
        <x:f>N292*'Resumen'!$B$8</x:f>
        <x:v>0</x:v>
      </x:c>
      <x:c r="P292" s="8" t="n">
        <x:f>M292+O292</x:f>
        <x:v>740.23</x:v>
      </x:c>
      <x:c r="Q292" s="8" t="n">
        <x:f>P292-H292</x:f>
        <x:v>740.23</x:v>
      </x:c>
      <x:c r="R292" s="8" t="n">
        <x:v>0</x:v>
      </x:c>
      <x:c r="S292" s="8" t="n">
        <x:f>R292*'Resumen'!$B$8</x:f>
        <x:v>0</x:v>
      </x:c>
      <x:c r="T292" s="8" t="n">
        <x:f>M292+S292</x:f>
        <x:v>740.23</x:v>
      </x:c>
      <x:c r="U292" s="8" t="n">
        <x:f>T292-H292</x:f>
        <x:v>740.23</x:v>
      </x:c>
      <x:c r="V292" s="27" t="n">
        <x:v>0</x:v>
      </x:c>
    </x:row>
    <x:row r="293">
      <x:c r="A293" s="28" t="str">
        <x:v>195119</x:v>
      </x:c>
      <x:c r="B293" s="25" t="n">
        <x:v>1</x:v>
      </x:c>
      <x:c r="C293" s="25" t="n">
        <x:v>0</x:v>
      </x:c>
      <x:c r="D293" s="25" t="n">
        <x:f>IF(B293=0,0,C293/B293)</x:f>
        <x:v>0</x:v>
      </x:c>
      <x:c r="E293" s="26" t="n">
        <x:f>IF(D293=0,0,D293/MAX($D$6:$D$337))</x:f>
        <x:v>0</x:v>
      </x:c>
      <x:c r="F293" s="26" t="n">
        <x:f>IF(B293=0,0,B293/MAX($B$6:$B$337))</x:f>
        <x:v>0.03571428571428571</x:v>
      </x:c>
      <x:c r="G293" s="26" t="n">
        <x:f>'Resumen'!$B$9*E293+'Resumen'!$B$10*F293</x:f>
        <x:v>0.010714285714285713</x:v>
      </x:c>
      <x:c r="H293" s="8" t="n">
        <x:v>0</x:v>
      </x:c>
      <x:c r="I293" s="8" t="n">
        <x:v>0</x:v>
      </x:c>
      <x:c r="J293" s="8" t="n">
        <x:f>MAX(H293-I293,0)</x:f>
        <x:v>0</x:v>
      </x:c>
      <x:c r="K293" s="8" t="n">
        <x:f>J293*G293</x:f>
        <x:v>0</x:v>
      </x:c>
      <x:c r="L293" s="8" t="n">
        <x:f>IFERROR('Resumen'!$B$14*K293/SUM($K$6:$K$337),0)</x:f>
        <x:v>0</x:v>
      </x:c>
      <x:c r="M293" s="8" t="n">
        <x:f>I293+L293</x:f>
        <x:v>0</x:v>
      </x:c>
      <x:c r="N293" s="8" t="n">
        <x:v>0</x:v>
      </x:c>
      <x:c r="O293" s="8" t="n">
        <x:f>N293*'Resumen'!$B$8</x:f>
        <x:v>0</x:v>
      </x:c>
      <x:c r="P293" s="8" t="n">
        <x:f>M293+O293</x:f>
        <x:v>0</x:v>
      </x:c>
      <x:c r="Q293" s="8" t="n">
        <x:f>P293-H293</x:f>
        <x:v>0</x:v>
      </x:c>
      <x:c r="R293" s="8" t="n">
        <x:v>0</x:v>
      </x:c>
      <x:c r="S293" s="8" t="n">
        <x:f>R293*'Resumen'!$B$8</x:f>
        <x:v>0</x:v>
      </x:c>
      <x:c r="T293" s="8" t="n">
        <x:f>M293+S293</x:f>
        <x:v>0</x:v>
      </x:c>
      <x:c r="U293" s="8" t="n">
        <x:f>T293-H293</x:f>
        <x:v>0</x:v>
      </x:c>
      <x:c r="V293" s="27" t="n">
        <x:v>0</x:v>
      </x:c>
    </x:row>
    <x:row r="294">
      <x:c r="A294" s="28" t="str">
        <x:v>208361</x:v>
      </x:c>
      <x:c r="B294" s="25" t="n">
        <x:v>2</x:v>
      </x:c>
      <x:c r="C294" s="25" t="n">
        <x:v>0</x:v>
      </x:c>
      <x:c r="D294" s="25" t="n">
        <x:f>IF(B294=0,0,C294/B294)</x:f>
        <x:v>0</x:v>
      </x:c>
      <x:c r="E294" s="26" t="n">
        <x:f>IF(D294=0,0,D294/MAX($D$6:$D$337))</x:f>
        <x:v>0</x:v>
      </x:c>
      <x:c r="F294" s="26" t="n">
        <x:f>IF(B294=0,0,B294/MAX($B$6:$B$337))</x:f>
        <x:v>0.07142857142857142</x:v>
      </x:c>
      <x:c r="G294" s="26" t="n">
        <x:f>'Resumen'!$B$9*E294+'Resumen'!$B$10*F294</x:f>
        <x:v>0.021428571428571425</x:v>
      </x:c>
      <x:c r="H294" s="8" t="n">
        <x:v>0</x:v>
      </x:c>
      <x:c r="I294" s="8" t="n">
        <x:v>0</x:v>
      </x:c>
      <x:c r="J294" s="8" t="n">
        <x:f>MAX(H294-I294,0)</x:f>
        <x:v>0</x:v>
      </x:c>
      <x:c r="K294" s="8" t="n">
        <x:f>J294*G294</x:f>
        <x:v>0</x:v>
      </x:c>
      <x:c r="L294" s="8" t="n">
        <x:f>IFERROR('Resumen'!$B$14*K294/SUM($K$6:$K$337),0)</x:f>
        <x:v>0</x:v>
      </x:c>
      <x:c r="M294" s="8" t="n">
        <x:f>I294+L294</x:f>
        <x:v>0</x:v>
      </x:c>
      <x:c r="N294" s="8" t="n">
        <x:v>0</x:v>
      </x:c>
      <x:c r="O294" s="8" t="n">
        <x:f>N294*'Resumen'!$B$8</x:f>
        <x:v>0</x:v>
      </x:c>
      <x:c r="P294" s="8" t="n">
        <x:f>M294+O294</x:f>
        <x:v>0</x:v>
      </x:c>
      <x:c r="Q294" s="8" t="n">
        <x:f>P294-H294</x:f>
        <x:v>0</x:v>
      </x:c>
      <x:c r="R294" s="8" t="n">
        <x:v>0</x:v>
      </x:c>
      <x:c r="S294" s="8" t="n">
        <x:f>R294*'Resumen'!$B$8</x:f>
        <x:v>0</x:v>
      </x:c>
      <x:c r="T294" s="8" t="n">
        <x:f>M294+S294</x:f>
        <x:v>0</x:v>
      </x:c>
      <x:c r="U294" s="8" t="n">
        <x:f>T294-H294</x:f>
        <x:v>0</x:v>
      </x:c>
      <x:c r="V294" s="27" t="n">
        <x:v>0</x:v>
      </x:c>
    </x:row>
    <x:row r="295">
      <x:c r="A295" s="28" t="str">
        <x:v>138355</x:v>
      </x:c>
      <x:c r="B295" s="25" t="n">
        <x:v>1</x:v>
      </x:c>
      <x:c r="C295" s="25" t="n">
        <x:v>0</x:v>
      </x:c>
      <x:c r="D295" s="25" t="n">
        <x:f>IF(B295=0,0,C295/B295)</x:f>
        <x:v>0</x:v>
      </x:c>
      <x:c r="E295" s="26" t="n">
        <x:f>IF(D295=0,0,D295/MAX($D$6:$D$337))</x:f>
        <x:v>0</x:v>
      </x:c>
      <x:c r="F295" s="26" t="n">
        <x:f>IF(B295=0,0,B295/MAX($B$6:$B$337))</x:f>
        <x:v>0.03571428571428571</x:v>
      </x:c>
      <x:c r="G295" s="26" t="n">
        <x:f>'Resumen'!$B$9*E295+'Resumen'!$B$10*F295</x:f>
        <x:v>0.010714285714285713</x:v>
      </x:c>
      <x:c r="H295" s="8" t="n">
        <x:v>0</x:v>
      </x:c>
      <x:c r="I295" s="8" t="n">
        <x:v>0</x:v>
      </x:c>
      <x:c r="J295" s="8" t="n">
        <x:f>MAX(H295-I295,0)</x:f>
        <x:v>0</x:v>
      </x:c>
      <x:c r="K295" s="8" t="n">
        <x:f>J295*G295</x:f>
        <x:v>0</x:v>
      </x:c>
      <x:c r="L295" s="8" t="n">
        <x:f>IFERROR('Resumen'!$B$14*K295/SUM($K$6:$K$337),0)</x:f>
        <x:v>0</x:v>
      </x:c>
      <x:c r="M295" s="8" t="n">
        <x:f>I295+L295</x:f>
        <x:v>0</x:v>
      </x:c>
      <x:c r="N295" s="8" t="n">
        <x:v>0</x:v>
      </x:c>
      <x:c r="O295" s="8" t="n">
        <x:f>N295*'Resumen'!$B$8</x:f>
        <x:v>0</x:v>
      </x:c>
      <x:c r="P295" s="8" t="n">
        <x:f>M295+O295</x:f>
        <x:v>0</x:v>
      </x:c>
      <x:c r="Q295" s="8" t="n">
        <x:f>P295-H295</x:f>
        <x:v>0</x:v>
      </x:c>
      <x:c r="R295" s="8" t="n">
        <x:v>0</x:v>
      </x:c>
      <x:c r="S295" s="8" t="n">
        <x:f>R295*'Resumen'!$B$8</x:f>
        <x:v>0</x:v>
      </x:c>
      <x:c r="T295" s="8" t="n">
        <x:f>M295+S295</x:f>
        <x:v>0</x:v>
      </x:c>
      <x:c r="U295" s="8" t="n">
        <x:f>T295-H295</x:f>
        <x:v>0</x:v>
      </x:c>
      <x:c r="V295" s="27" t="n">
        <x:v>0</x:v>
      </x:c>
    </x:row>
    <x:row r="296">
      <x:c r="A296" s="28" t="str">
        <x:v>208706</x:v>
      </x:c>
      <x:c r="B296" s="25" t="n">
        <x:v>4</x:v>
      </x:c>
      <x:c r="C296" s="25" t="n">
        <x:v>4823</x:v>
      </x:c>
      <x:c r="D296" s="25" t="n">
        <x:f>IF(B296=0,0,C296/B296)</x:f>
        <x:v>1205.75</x:v>
      </x:c>
      <x:c r="E296" s="26" t="n">
        <x:f>IF(D296=0,0,D296/MAX($D$6:$D$337))</x:f>
        <x:v>0.8626584219133279</x:v>
      </x:c>
      <x:c r="F296" s="26" t="n">
        <x:f>IF(B296=0,0,B296/MAX($B$6:$B$337))</x:f>
        <x:v>0.14285714285714285</x:v>
      </x:c>
      <x:c r="G296" s="26" t="n">
        <x:f>'Resumen'!$B$9*E296+'Resumen'!$B$10*F296</x:f>
        <x:v>0.6467180381964723</x:v>
      </x:c>
      <x:c r="H296" s="8" t="n">
        <x:v>81371.39</x:v>
      </x:c>
      <x:c r="I296" s="8" t="n">
        <x:v>56458.56</x:v>
      </x:c>
      <x:c r="J296" s="8" t="n">
        <x:f>MAX(H296-I296,0)</x:f>
        <x:v>24912.83</x:v>
      </x:c>
      <x:c r="K296" s="8" t="n">
        <x:f>J296*G296</x:f>
        <x:v>16111.576543522224</x:v>
      </x:c>
      <x:c r="L296" s="8" t="n">
        <x:f>IFERROR('Resumen'!$B$14*K296/SUM($K$6:$K$337),0)</x:f>
        <x:v>11670.074614499383</x:v>
      </x:c>
      <x:c r="M296" s="8" t="n">
        <x:f>I296+L296</x:f>
        <x:v>68128.63461449937</x:v>
      </x:c>
      <x:c r="N296" s="8" t="n">
        <x:v>0</x:v>
      </x:c>
      <x:c r="O296" s="8" t="n">
        <x:f>N296*'Resumen'!$B$8</x:f>
        <x:v>0</x:v>
      </x:c>
      <x:c r="P296" s="8" t="n">
        <x:f>M296+O296</x:f>
        <x:v>68128.63461449937</x:v>
      </x:c>
      <x:c r="Q296" s="8" t="n">
        <x:f>P296-H296</x:f>
        <x:v>-13242.755385500626</x:v>
      </x:c>
      <x:c r="R296" s="8" t="n">
        <x:v>0</x:v>
      </x:c>
      <x:c r="S296" s="8" t="n">
        <x:f>R296*'Resumen'!$B$8</x:f>
        <x:v>0</x:v>
      </x:c>
      <x:c r="T296" s="8" t="n">
        <x:f>M296+S296</x:f>
        <x:v>68128.63461449937</x:v>
      </x:c>
      <x:c r="U296" s="8" t="n">
        <x:f>T296-H296</x:f>
        <x:v>-13242.755385500626</x:v>
      </x:c>
      <x:c r="V296" s="27" t="n">
        <x:v>0</x:v>
      </x:c>
    </x:row>
    <x:row r="297">
      <x:c r="A297" s="28" t="str">
        <x:v>208708</x:v>
      </x:c>
      <x:c r="B297" s="25" t="n">
        <x:v>5</x:v>
      </x:c>
      <x:c r="C297" s="25" t="n">
        <x:v>5866</x:v>
      </x:c>
      <x:c r="D297" s="25" t="n">
        <x:f>IF(B297=0,0,C297/B297)</x:f>
        <x:v>1173.2</x:v>
      </x:c>
      <x:c r="E297" s="26" t="n">
        <x:f>IF(D297=0,0,D297/MAX($D$6:$D$337))</x:f>
        <x:v>0.8393704006541292</x:v>
      </x:c>
      <x:c r="F297" s="26" t="n">
        <x:f>IF(B297=0,0,B297/MAX($B$6:$B$337))</x:f>
        <x:v>0.17857142857142858</x:v>
      </x:c>
      <x:c r="G297" s="26" t="n">
        <x:f>'Resumen'!$B$9*E297+'Resumen'!$B$10*F297</x:f>
        <x:v>0.641130709029319</x:v>
      </x:c>
      <x:c r="H297" s="8" t="n">
        <x:v>68841.66</x:v>
      </x:c>
      <x:c r="I297" s="8" t="n">
        <x:v>47886.03999999999</x:v>
      </x:c>
      <x:c r="J297" s="8" t="n">
        <x:f>MAX(H297-I297,0)</x:f>
        <x:v>20955.62000000001</x:v>
      </x:c>
      <x:c r="K297" s="8" t="n">
        <x:f>J297*G297</x:f>
        <x:v>13435.291508748984</x:v>
      </x:c>
      <x:c r="L297" s="8" t="n">
        <x:f>IFERROR('Resumen'!$B$14*K297/SUM($K$6:$K$337),0)</x:f>
        <x:v>9731.564999310358</x:v>
      </x:c>
      <x:c r="M297" s="8" t="n">
        <x:f>I297+L297</x:f>
        <x:v>57617.60499931035</x:v>
      </x:c>
      <x:c r="N297" s="8" t="n">
        <x:v>0</x:v>
      </x:c>
      <x:c r="O297" s="8" t="n">
        <x:f>N297*'Resumen'!$B$8</x:f>
        <x:v>0</x:v>
      </x:c>
      <x:c r="P297" s="8" t="n">
        <x:f>M297+O297</x:f>
        <x:v>57617.60499931035</x:v>
      </x:c>
      <x:c r="Q297" s="8" t="n">
        <x:f>P297-H297</x:f>
        <x:v>-11224.055000689652</x:v>
      </x:c>
      <x:c r="R297" s="8" t="n">
        <x:v>0</x:v>
      </x:c>
      <x:c r="S297" s="8" t="n">
        <x:f>R297*'Resumen'!$B$8</x:f>
        <x:v>0</x:v>
      </x:c>
      <x:c r="T297" s="8" t="n">
        <x:f>M297+S297</x:f>
        <x:v>57617.60499931035</x:v>
      </x:c>
      <x:c r="U297" s="8" t="n">
        <x:f>T297-H297</x:f>
        <x:v>-11224.055000689652</x:v>
      </x:c>
      <x:c r="V297" s="27" t="n">
        <x:v>0</x:v>
      </x:c>
    </x:row>
    <x:row r="298">
      <x:c r="A298" s="28" t="str">
        <x:v>208709</x:v>
      </x:c>
      <x:c r="B298" s="25" t="n">
        <x:v>5</x:v>
      </x:c>
      <x:c r="C298" s="25" t="n">
        <x:v>6379</x:v>
      </x:c>
      <x:c r="D298" s="25" t="n">
        <x:f>IF(B298=0,0,C298/B298)</x:f>
        <x:v>1275.8</x:v>
      </x:c>
      <x:c r="E298" s="26" t="n">
        <x:f>IF(D298=0,0,D298/MAX($D$6:$D$337))</x:f>
        <x:v>0.9127759607522485</x:v>
      </x:c>
      <x:c r="F298" s="26" t="n">
        <x:f>IF(B298=0,0,B298/MAX($B$6:$B$337))</x:f>
        <x:v>0.17857142857142858</x:v>
      </x:c>
      <x:c r="G298" s="26" t="n">
        <x:f>'Resumen'!$B$9*E298+'Resumen'!$B$10*F298</x:f>
        <x:v>0.6925146010980026</x:v>
      </x:c>
      <x:c r="H298" s="8" t="n">
        <x:v>89549.16</x:v>
      </x:c>
      <x:c r="I298" s="8" t="n">
        <x:v>76112.76</x:v>
      </x:c>
      <x:c r="J298" s="8" t="n">
        <x:f>MAX(H298-I298,0)</x:f>
        <x:v>13436.400000000009</x:v>
      </x:c>
      <x:c r="K298" s="8" t="n">
        <x:f>J298*G298</x:f>
        <x:v>9304.903186193207</x:v>
      </x:c>
      <x:c r="L298" s="8" t="n">
        <x:f>IFERROR('Resumen'!$B$14*K298/SUM($K$6:$K$337),0)</x:f>
        <x:v>6739.806881731057</x:v>
      </x:c>
      <x:c r="M298" s="8" t="n">
        <x:f>I298+L298</x:f>
        <x:v>82852.56688173105</x:v>
      </x:c>
      <x:c r="N298" s="8" t="n">
        <x:v>0</x:v>
      </x:c>
      <x:c r="O298" s="8" t="n">
        <x:f>N298*'Resumen'!$B$8</x:f>
        <x:v>0</x:v>
      </x:c>
      <x:c r="P298" s="8" t="n">
        <x:f>M298+O298</x:f>
        <x:v>82852.56688173105</x:v>
      </x:c>
      <x:c r="Q298" s="8" t="n">
        <x:f>P298-H298</x:f>
        <x:v>-6696.593118268953</x:v>
      </x:c>
      <x:c r="R298" s="8" t="n">
        <x:v>0</x:v>
      </x:c>
      <x:c r="S298" s="8" t="n">
        <x:f>R298*'Resumen'!$B$8</x:f>
        <x:v>0</x:v>
      </x:c>
      <x:c r="T298" s="8" t="n">
        <x:f>M298+S298</x:f>
        <x:v>82852.56688173105</x:v>
      </x:c>
      <x:c r="U298" s="8" t="n">
        <x:f>T298-H298</x:f>
        <x:v>-6696.593118268953</x:v>
      </x:c>
      <x:c r="V298" s="27" t="n">
        <x:v>0</x:v>
      </x:c>
    </x:row>
    <x:row r="299">
      <x:c r="A299" s="28" t="str">
        <x:v>208710</x:v>
      </x:c>
      <x:c r="B299" s="25" t="n">
        <x:v>5</x:v>
      </x:c>
      <x:c r="C299" s="25" t="n">
        <x:v>5962</x:v>
      </x:c>
      <x:c r="D299" s="25" t="n">
        <x:f>IF(B299=0,0,C299/B299)</x:f>
        <x:v>1192.4</x:v>
      </x:c>
      <x:c r="E299" s="26" t="n">
        <x:f>IF(D299=0,0,D299/MAX($D$6:$D$337))</x:f>
        <x:v>0.8531071136549468</x:v>
      </x:c>
      <x:c r="F299" s="26" t="n">
        <x:f>IF(B299=0,0,B299/MAX($B$6:$B$337))</x:f>
        <x:v>0.17857142857142858</x:v>
      </x:c>
      <x:c r="G299" s="26" t="n">
        <x:f>'Resumen'!$B$9*E299+'Resumen'!$B$10*F299</x:f>
        <x:v>0.6507464081298914</x:v>
      </x:c>
      <x:c r="H299" s="8" t="n">
        <x:v>76538.54000000001</x:v>
      </x:c>
      <x:c r="I299" s="8" t="n">
        <x:v>61755.259999999995</x:v>
      </x:c>
      <x:c r="J299" s="8" t="n">
        <x:f>MAX(H299-I299,0)</x:f>
        <x:v>14783.280000000013</x:v>
      </x:c>
      <x:c r="K299" s="8" t="n">
        <x:f>J299*G299</x:f>
        <x:v>9620.16636037847</x:v>
      </x:c>
      <x:c r="L299" s="8" t="n">
        <x:f>IFERROR('Resumen'!$B$14*K299/SUM($K$6:$K$337),0)</x:f>
        <x:v>6968.160994440477</x:v>
      </x:c>
      <x:c r="M299" s="8" t="n">
        <x:f>I299+L299</x:f>
        <x:v>68723.42099444047</x:v>
      </x:c>
      <x:c r="N299" s="8" t="n">
        <x:v>0</x:v>
      </x:c>
      <x:c r="O299" s="8" t="n">
        <x:f>N299*'Resumen'!$B$8</x:f>
        <x:v>0</x:v>
      </x:c>
      <x:c r="P299" s="8" t="n">
        <x:f>M299+O299</x:f>
        <x:v>68723.42099444047</x:v>
      </x:c>
      <x:c r="Q299" s="8" t="n">
        <x:f>P299-H299</x:f>
        <x:v>-7815.119005559536</x:v>
      </x:c>
      <x:c r="R299" s="8" t="n">
        <x:v>0</x:v>
      </x:c>
      <x:c r="S299" s="8" t="n">
        <x:f>R299*'Resumen'!$B$8</x:f>
        <x:v>0</x:v>
      </x:c>
      <x:c r="T299" s="8" t="n">
        <x:f>M299+S299</x:f>
        <x:v>68723.42099444047</x:v>
      </x:c>
      <x:c r="U299" s="8" t="n">
        <x:f>T299-H299</x:f>
        <x:v>-7815.119005559536</x:v>
      </x:c>
      <x:c r="V299" s="27" t="n">
        <x:v>0</x:v>
      </x:c>
    </x:row>
    <x:row r="300">
      <x:c r="A300" s="28" t="str">
        <x:v>208807</x:v>
      </x:c>
      <x:c r="B300" s="25" t="n">
        <x:v>5</x:v>
      </x:c>
      <x:c r="C300" s="25" t="n">
        <x:v>5657</x:v>
      </x:c>
      <x:c r="D300" s="25" t="n">
        <x:f>IF(B300=0,0,C300/B300)</x:f>
        <x:v>1131.4</x:v>
      </x:c>
      <x:c r="E300" s="26" t="n">
        <x:f>IF(D300=0,0,D300/MAX($D$6:$D$337))</x:f>
        <x:v>0.8094644317252657</x:v>
      </x:c>
      <x:c r="F300" s="26" t="n">
        <x:f>IF(B300=0,0,B300/MAX($B$6:$B$337))</x:f>
        <x:v>0.17857142857142858</x:v>
      </x:c>
      <x:c r="G300" s="26" t="n">
        <x:f>'Resumen'!$B$9*E300+'Resumen'!$B$10*F300</x:f>
        <x:v>0.6201965307791145</x:v>
      </x:c>
      <x:c r="H300" s="8" t="n">
        <x:v>87471.76</x:v>
      </x:c>
      <x:c r="I300" s="8" t="n">
        <x:v>51141.87</x:v>
      </x:c>
      <x:c r="J300" s="8" t="n">
        <x:f>MAX(H300-I300,0)</x:f>
        <x:v>36329.88999999999</x:v>
      </x:c>
      <x:c r="K300" s="8" t="n">
        <x:f>J300*G300</x:f>
        <x:v>22531.67174158684</x:v>
      </x:c>
      <x:c r="L300" s="8" t="n">
        <x:f>IFERROR('Resumen'!$B$14*K300/SUM($K$6:$K$337),0)</x:f>
        <x:v>16320.332755980056</x:v>
      </x:c>
      <x:c r="M300" s="8" t="n">
        <x:f>I300+L300</x:f>
        <x:v>67462.20275598006</x:v>
      </x:c>
      <x:c r="N300" s="8" t="n">
        <x:v>0</x:v>
      </x:c>
      <x:c r="O300" s="8" t="n">
        <x:f>N300*'Resumen'!$B$8</x:f>
        <x:v>0</x:v>
      </x:c>
      <x:c r="P300" s="8" t="n">
        <x:f>M300+O300</x:f>
        <x:v>67462.20275598006</x:v>
      </x:c>
      <x:c r="Q300" s="8" t="n">
        <x:f>P300-H300</x:f>
        <x:v>-20009.557244019932</x:v>
      </x:c>
      <x:c r="R300" s="8" t="n">
        <x:v>0</x:v>
      </x:c>
      <x:c r="S300" s="8" t="n">
        <x:f>R300*'Resumen'!$B$8</x:f>
        <x:v>0</x:v>
      </x:c>
      <x:c r="T300" s="8" t="n">
        <x:f>M300+S300</x:f>
        <x:v>67462.20275598006</x:v>
      </x:c>
      <x:c r="U300" s="8" t="n">
        <x:f>T300-H300</x:f>
        <x:v>-20009.557244019932</x:v>
      </x:c>
      <x:c r="V300" s="27" t="n">
        <x:v>0</x:v>
      </x:c>
    </x:row>
    <x:row r="301">
      <x:c r="A301" s="28" t="str">
        <x:v>208808</x:v>
      </x:c>
      <x:c r="B301" s="25" t="n">
        <x:v>5</x:v>
      </x:c>
      <x:c r="C301" s="25" t="n">
        <x:v>4851</x:v>
      </x:c>
      <x:c r="D301" s="25" t="n">
        <x:f>IF(B301=0,0,C301/B301)</x:f>
        <x:v>970.2</x:v>
      </x:c>
      <x:c r="E301" s="26" t="n">
        <x:f>IF(D301=0,0,D301/MAX($D$6:$D$337))</x:f>
        <x:v>0.6941332788225675</x:v>
      </x:c>
      <x:c r="F301" s="26" t="n">
        <x:f>IF(B301=0,0,B301/MAX($B$6:$B$337))</x:f>
        <x:v>0.17857142857142858</x:v>
      </x:c>
      <x:c r="G301" s="26" t="n">
        <x:f>'Resumen'!$B$9*E301+'Resumen'!$B$10*F301</x:f>
        <x:v>0.5394647237472258</x:v>
      </x:c>
      <x:c r="H301" s="8" t="n">
        <x:v>27820.809999999998</x:v>
      </x:c>
      <x:c r="I301" s="8" t="n">
        <x:v>44380.44</x:v>
      </x:c>
      <x:c r="J301" s="8" t="n">
        <x:f>MAX(H301-I301,0)</x:f>
        <x:v>0</x:v>
      </x:c>
      <x:c r="K301" s="8" t="n">
        <x:f>J301*G301</x:f>
        <x:v>0</x:v>
      </x:c>
      <x:c r="L301" s="8" t="n">
        <x:f>IFERROR('Resumen'!$B$14*K301/SUM($K$6:$K$337),0)</x:f>
        <x:v>0</x:v>
      </x:c>
      <x:c r="M301" s="8" t="n">
        <x:f>I301+L301</x:f>
        <x:v>44380.44</x:v>
      </x:c>
      <x:c r="N301" s="8" t="n">
        <x:v>0</x:v>
      </x:c>
      <x:c r="O301" s="8" t="n">
        <x:f>N301*'Resumen'!$B$8</x:f>
        <x:v>0</x:v>
      </x:c>
      <x:c r="P301" s="8" t="n">
        <x:f>M301+O301</x:f>
        <x:v>44380.44</x:v>
      </x:c>
      <x:c r="Q301" s="8" t="n">
        <x:f>P301-H301</x:f>
        <x:v>16559.630000000005</x:v>
      </x:c>
      <x:c r="R301" s="8" t="n">
        <x:v>0</x:v>
      </x:c>
      <x:c r="S301" s="8" t="n">
        <x:f>R301*'Resumen'!$B$8</x:f>
        <x:v>0</x:v>
      </x:c>
      <x:c r="T301" s="8" t="n">
        <x:f>M301+S301</x:f>
        <x:v>44380.44</x:v>
      </x:c>
      <x:c r="U301" s="8" t="n">
        <x:f>T301-H301</x:f>
        <x:v>16559.630000000005</x:v>
      </x:c>
      <x:c r="V301" s="27" t="n">
        <x:v>0</x:v>
      </x:c>
    </x:row>
    <x:row r="302">
      <x:c r="A302" s="28" t="str">
        <x:v>735587</x:v>
      </x:c>
      <x:c r="B302" s="25" t="n">
        <x:v>4</x:v>
      </x:c>
      <x:c r="C302" s="25" t="n">
        <x:v>1787</x:v>
      </x:c>
      <x:c r="D302" s="25" t="n">
        <x:f>IF(B302=0,0,C302/B302)</x:f>
        <x:v>446.75</x:v>
      </x:c>
      <x:c r="E302" s="26" t="n">
        <x:f>IF(D302=0,0,D302/MAX($D$6:$D$337))</x:f>
        <x:v>0.3196289860997547</x:v>
      </x:c>
      <x:c r="F302" s="26" t="n">
        <x:f>IF(B302=0,0,B302/MAX($B$6:$B$337))</x:f>
        <x:v>0.14285714285714285</x:v>
      </x:c>
      <x:c r="G302" s="26" t="n">
        <x:f>'Resumen'!$B$9*E302+'Resumen'!$B$10*F302</x:f>
        <x:v>0.26659743312697115</x:v>
      </x:c>
      <x:c r="H302" s="8" t="n">
        <x:v>0</x:v>
      </x:c>
      <x:c r="I302" s="8" t="n">
        <x:v>12197.869999999999</x:v>
      </x:c>
      <x:c r="J302" s="8" t="n">
        <x:f>MAX(H302-I302,0)</x:f>
        <x:v>0</x:v>
      </x:c>
      <x:c r="K302" s="8" t="n">
        <x:f>J302*G302</x:f>
        <x:v>0</x:v>
      </x:c>
      <x:c r="L302" s="8" t="n">
        <x:f>IFERROR('Resumen'!$B$14*K302/SUM($K$6:$K$337),0)</x:f>
        <x:v>0</x:v>
      </x:c>
      <x:c r="M302" s="8" t="n">
        <x:f>I302+L302</x:f>
        <x:v>12197.869999999999</x:v>
      </x:c>
      <x:c r="N302" s="8" t="n">
        <x:v>0</x:v>
      </x:c>
      <x:c r="O302" s="8" t="n">
        <x:f>N302*'Resumen'!$B$8</x:f>
        <x:v>0</x:v>
      </x:c>
      <x:c r="P302" s="8" t="n">
        <x:f>M302+O302</x:f>
        <x:v>12197.869999999999</x:v>
      </x:c>
      <x:c r="Q302" s="8" t="n">
        <x:f>P302-H302</x:f>
        <x:v>12197.869999999999</x:v>
      </x:c>
      <x:c r="R302" s="8" t="n">
        <x:v>0</x:v>
      </x:c>
      <x:c r="S302" s="8" t="n">
        <x:f>R302*'Resumen'!$B$8</x:f>
        <x:v>0</x:v>
      </x:c>
      <x:c r="T302" s="8" t="n">
        <x:f>M302+S302</x:f>
        <x:v>12197.869999999999</x:v>
      </x:c>
      <x:c r="U302" s="8" t="n">
        <x:f>T302-H302</x:f>
        <x:v>12197.869999999999</x:v>
      </x:c>
      <x:c r="V302" s="27" t="n">
        <x:v>0</x:v>
      </x:c>
    </x:row>
    <x:row r="303">
      <x:c r="A303" s="28" t="str">
        <x:v>735588</x:v>
      </x:c>
      <x:c r="B303" s="25" t="n">
        <x:v>4</x:v>
      </x:c>
      <x:c r="C303" s="25" t="n">
        <x:v>2469</x:v>
      </x:c>
      <x:c r="D303" s="25" t="n">
        <x:f>IF(B303=0,0,C303/B303)</x:f>
        <x:v>617.25</x:v>
      </x:c>
      <x:c r="E303" s="26" t="n">
        <x:f>IF(D303=0,0,D303/MAX($D$6:$D$337))</x:f>
        <x:v>0.441613859362224</x:v>
      </x:c>
      <x:c r="F303" s="26" t="n">
        <x:f>IF(B303=0,0,B303/MAX($B$6:$B$337))</x:f>
        <x:v>0.14285714285714285</x:v>
      </x:c>
      <x:c r="G303" s="26" t="n">
        <x:f>'Resumen'!$B$9*E303+'Resumen'!$B$10*F303</x:f>
        <x:v>0.35198684441069966</x:v>
      </x:c>
      <x:c r="H303" s="8" t="n">
        <x:v>0</x:v>
      </x:c>
      <x:c r="I303" s="8" t="n">
        <x:v>20806.49</x:v>
      </x:c>
      <x:c r="J303" s="8" t="n">
        <x:f>MAX(H303-I303,0)</x:f>
        <x:v>0</x:v>
      </x:c>
      <x:c r="K303" s="8" t="n">
        <x:f>J303*G303</x:f>
        <x:v>0</x:v>
      </x:c>
      <x:c r="L303" s="8" t="n">
        <x:f>IFERROR('Resumen'!$B$14*K303/SUM($K$6:$K$337),0)</x:f>
        <x:v>0</x:v>
      </x:c>
      <x:c r="M303" s="8" t="n">
        <x:f>I303+L303</x:f>
        <x:v>20806.49</x:v>
      </x:c>
      <x:c r="N303" s="8" t="n">
        <x:v>0</x:v>
      </x:c>
      <x:c r="O303" s="8" t="n">
        <x:f>N303*'Resumen'!$B$8</x:f>
        <x:v>0</x:v>
      </x:c>
      <x:c r="P303" s="8" t="n">
        <x:f>M303+O303</x:f>
        <x:v>20806.49</x:v>
      </x:c>
      <x:c r="Q303" s="8" t="n">
        <x:f>P303-H303</x:f>
        <x:v>20806.49</x:v>
      </x:c>
      <x:c r="R303" s="8" t="n">
        <x:v>0</x:v>
      </x:c>
      <x:c r="S303" s="8" t="n">
        <x:f>R303*'Resumen'!$B$8</x:f>
        <x:v>0</x:v>
      </x:c>
      <x:c r="T303" s="8" t="n">
        <x:f>M303+S303</x:f>
        <x:v>20806.49</x:v>
      </x:c>
      <x:c r="U303" s="8" t="n">
        <x:f>T303-H303</x:f>
        <x:v>20806.49</x:v>
      </x:c>
      <x:c r="V303" s="27" t="n">
        <x:v>0</x:v>
      </x:c>
    </x:row>
    <x:row r="304">
      <x:c r="A304" s="28" t="str">
        <x:v>735589</x:v>
      </x:c>
      <x:c r="B304" s="25" t="n">
        <x:v>4</x:v>
      </x:c>
      <x:c r="C304" s="25" t="n">
        <x:v>3129</x:v>
      </x:c>
      <x:c r="D304" s="25" t="n">
        <x:f>IF(B304=0,0,C304/B304)</x:f>
        <x:v>782.25</x:v>
      </x:c>
      <x:c r="E304" s="26" t="n">
        <x:f>IF(D304=0,0,D304/MAX($D$6:$D$337))</x:f>
        <x:v>0.5596637367130007</x:v>
      </x:c>
      <x:c r="F304" s="26" t="n">
        <x:f>IF(B304=0,0,B304/MAX($B$6:$B$337))</x:f>
        <x:v>0.14285714285714285</x:v>
      </x:c>
      <x:c r="G304" s="26" t="n">
        <x:f>'Resumen'!$B$9*E304+'Resumen'!$B$10*F304</x:f>
        <x:v>0.43462175855624335</x:v>
      </x:c>
      <x:c r="H304" s="8" t="n">
        <x:v>4811.52</x:v>
      </x:c>
      <x:c r="I304" s="8" t="n">
        <x:v>24022.47</x:v>
      </x:c>
      <x:c r="J304" s="8" t="n">
        <x:f>MAX(H304-I304,0)</x:f>
        <x:v>0</x:v>
      </x:c>
      <x:c r="K304" s="8" t="n">
        <x:f>J304*G304</x:f>
        <x:v>0</x:v>
      </x:c>
      <x:c r="L304" s="8" t="n">
        <x:f>IFERROR('Resumen'!$B$14*K304/SUM($K$6:$K$337),0)</x:f>
        <x:v>0</x:v>
      </x:c>
      <x:c r="M304" s="8" t="n">
        <x:f>I304+L304</x:f>
        <x:v>24022.47</x:v>
      </x:c>
      <x:c r="N304" s="8" t="n">
        <x:v>0</x:v>
      </x:c>
      <x:c r="O304" s="8" t="n">
        <x:f>N304*'Resumen'!$B$8</x:f>
        <x:v>0</x:v>
      </x:c>
      <x:c r="P304" s="8" t="n">
        <x:f>M304+O304</x:f>
        <x:v>24022.47</x:v>
      </x:c>
      <x:c r="Q304" s="8" t="n">
        <x:f>P304-H304</x:f>
        <x:v>19210.95</x:v>
      </x:c>
      <x:c r="R304" s="8" t="n">
        <x:v>0</x:v>
      </x:c>
      <x:c r="S304" s="8" t="n">
        <x:f>R304*'Resumen'!$B$8</x:f>
        <x:v>0</x:v>
      </x:c>
      <x:c r="T304" s="8" t="n">
        <x:f>M304+S304</x:f>
        <x:v>24022.47</x:v>
      </x:c>
      <x:c r="U304" s="8" t="n">
        <x:f>T304-H304</x:f>
        <x:v>19210.95</x:v>
      </x:c>
      <x:c r="V304" s="27" t="n">
        <x:v>0</x:v>
      </x:c>
    </x:row>
    <x:row r="305">
      <x:c r="A305" s="28" t="str">
        <x:v>735590</x:v>
      </x:c>
      <x:c r="B305" s="25" t="n">
        <x:v>4</x:v>
      </x:c>
      <x:c r="C305" s="25" t="n">
        <x:v>2802</x:v>
      </x:c>
      <x:c r="D305" s="25" t="n">
        <x:f>IF(B305=0,0,C305/B305)</x:f>
        <x:v>700.5</x:v>
      </x:c>
      <x:c r="E305" s="26" t="n">
        <x:f>IF(D305=0,0,D305/MAX($D$6:$D$337))</x:f>
        <x:v>0.5011753883892068</x:v>
      </x:c>
      <x:c r="F305" s="26" t="n">
        <x:f>IF(B305=0,0,B305/MAX($B$6:$B$337))</x:f>
        <x:v>0.14285714285714285</x:v>
      </x:c>
      <x:c r="G305" s="26" t="n">
        <x:f>'Resumen'!$B$9*E305+'Resumen'!$B$10*F305</x:f>
        <x:v>0.39367991472958763</x:v>
      </x:c>
      <x:c r="H305" s="8" t="n">
        <x:v>0</x:v>
      </x:c>
      <x:c r="I305" s="8" t="n">
        <x:v>18212.23</x:v>
      </x:c>
      <x:c r="J305" s="8" t="n">
        <x:f>MAX(H305-I305,0)</x:f>
        <x:v>0</x:v>
      </x:c>
      <x:c r="K305" s="8" t="n">
        <x:f>J305*G305</x:f>
        <x:v>0</x:v>
      </x:c>
      <x:c r="L305" s="8" t="n">
        <x:f>IFERROR('Resumen'!$B$14*K305/SUM($K$6:$K$337),0)</x:f>
        <x:v>0</x:v>
      </x:c>
      <x:c r="M305" s="8" t="n">
        <x:f>I305+L305</x:f>
        <x:v>18212.23</x:v>
      </x:c>
      <x:c r="N305" s="8" t="n">
        <x:v>0</x:v>
      </x:c>
      <x:c r="O305" s="8" t="n">
        <x:f>N305*'Resumen'!$B$8</x:f>
        <x:v>0</x:v>
      </x:c>
      <x:c r="P305" s="8" t="n">
        <x:f>M305+O305</x:f>
        <x:v>18212.23</x:v>
      </x:c>
      <x:c r="Q305" s="8" t="n">
        <x:f>P305-H305</x:f>
        <x:v>18212.23</x:v>
      </x:c>
      <x:c r="R305" s="8" t="n">
        <x:v>0</x:v>
      </x:c>
      <x:c r="S305" s="8" t="n">
        <x:f>R305*'Resumen'!$B$8</x:f>
        <x:v>0</x:v>
      </x:c>
      <x:c r="T305" s="8" t="n">
        <x:f>M305+S305</x:f>
        <x:v>18212.23</x:v>
      </x:c>
      <x:c r="U305" s="8" t="n">
        <x:f>T305-H305</x:f>
        <x:v>18212.23</x:v>
      </x:c>
      <x:c r="V305" s="27" t="n">
        <x:v>0</x:v>
      </x:c>
    </x:row>
    <x:row r="306">
      <x:c r="A306" s="28" t="str">
        <x:v>735591</x:v>
      </x:c>
      <x:c r="B306" s="25" t="n">
        <x:v>4</x:v>
      </x:c>
      <x:c r="C306" s="25" t="n">
        <x:v>3273</x:v>
      </x:c>
      <x:c r="D306" s="25" t="n">
        <x:f>IF(B306=0,0,C306/B306)</x:f>
        <x:v>818.25</x:v>
      </x:c>
      <x:c r="E306" s="26" t="n">
        <x:f>IF(D306=0,0,D306/MAX($D$6:$D$337))</x:f>
        <x:v>0.5854200735895339</x:v>
      </x:c>
      <x:c r="F306" s="26" t="n">
        <x:f>IF(B306=0,0,B306/MAX($B$6:$B$337))</x:f>
        <x:v>0.14285714285714285</x:v>
      </x:c>
      <x:c r="G306" s="26" t="n">
        <x:f>'Resumen'!$B$9*E306+'Resumen'!$B$10*F306</x:f>
        <x:v>0.45265119436981655</x:v>
      </x:c>
      <x:c r="H306" s="8" t="n">
        <x:v>7933.6</x:v>
      </x:c>
      <x:c r="I306" s="8" t="n">
        <x:v>28852.729999999996</x:v>
      </x:c>
      <x:c r="J306" s="8" t="n">
        <x:f>MAX(H306-I306,0)</x:f>
        <x:v>0</x:v>
      </x:c>
      <x:c r="K306" s="8" t="n">
        <x:f>J306*G306</x:f>
        <x:v>0</x:v>
      </x:c>
      <x:c r="L306" s="8" t="n">
        <x:f>IFERROR('Resumen'!$B$14*K306/SUM($K$6:$K$337),0)</x:f>
        <x:v>0</x:v>
      </x:c>
      <x:c r="M306" s="8" t="n">
        <x:f>I306+L306</x:f>
        <x:v>28852.729999999996</x:v>
      </x:c>
      <x:c r="N306" s="8" t="n">
        <x:v>0</x:v>
      </x:c>
      <x:c r="O306" s="8" t="n">
        <x:f>N306*'Resumen'!$B$8</x:f>
        <x:v>0</x:v>
      </x:c>
      <x:c r="P306" s="8" t="n">
        <x:f>M306+O306</x:f>
        <x:v>28852.729999999996</x:v>
      </x:c>
      <x:c r="Q306" s="8" t="n">
        <x:f>P306-H306</x:f>
        <x:v>20919.129999999997</x:v>
      </x:c>
      <x:c r="R306" s="8" t="n">
        <x:v>0</x:v>
      </x:c>
      <x:c r="S306" s="8" t="n">
        <x:f>R306*'Resumen'!$B$8</x:f>
        <x:v>0</x:v>
      </x:c>
      <x:c r="T306" s="8" t="n">
        <x:f>M306+S306</x:f>
        <x:v>28852.729999999996</x:v>
      </x:c>
      <x:c r="U306" s="8" t="n">
        <x:f>T306-H306</x:f>
        <x:v>20919.129999999997</x:v>
      </x:c>
      <x:c r="V306" s="27" t="n">
        <x:v>0</x:v>
      </x:c>
    </x:row>
    <x:row r="307">
      <x:c r="A307" s="28" t="str">
        <x:v>735592</x:v>
      </x:c>
      <x:c r="B307" s="25" t="n">
        <x:v>4</x:v>
      </x:c>
      <x:c r="C307" s="25" t="n">
        <x:v>2901</x:v>
      </x:c>
      <x:c r="D307" s="25" t="n">
        <x:f>IF(B307=0,0,C307/B307)</x:f>
        <x:v>725.25</x:v>
      </x:c>
      <x:c r="E307" s="26" t="n">
        <x:f>IF(D307=0,0,D307/MAX($D$6:$D$337))</x:f>
        <x:v>0.5188828699918233</x:v>
      </x:c>
      <x:c r="F307" s="26" t="n">
        <x:f>IF(B307=0,0,B307/MAX($B$6:$B$337))</x:f>
        <x:v>0.14285714285714285</x:v>
      </x:c>
      <x:c r="G307" s="26" t="n">
        <x:f>'Resumen'!$B$9*E307+'Resumen'!$B$10*F307</x:f>
        <x:v>0.4060751518514192</x:v>
      </x:c>
      <x:c r="H307" s="8" t="n">
        <x:v>6608.03</x:v>
      </x:c>
      <x:c r="I307" s="8" t="n">
        <x:v>16276.740000000002</x:v>
      </x:c>
      <x:c r="J307" s="8" t="n">
        <x:f>MAX(H307-I307,0)</x:f>
        <x:v>0</x:v>
      </x:c>
      <x:c r="K307" s="8" t="n">
        <x:f>J307*G307</x:f>
        <x:v>0</x:v>
      </x:c>
      <x:c r="L307" s="8" t="n">
        <x:f>IFERROR('Resumen'!$B$14*K307/SUM($K$6:$K$337),0)</x:f>
        <x:v>0</x:v>
      </x:c>
      <x:c r="M307" s="8" t="n">
        <x:f>I307+L307</x:f>
        <x:v>16276.740000000002</x:v>
      </x:c>
      <x:c r="N307" s="8" t="n">
        <x:v>0</x:v>
      </x:c>
      <x:c r="O307" s="8" t="n">
        <x:f>N307*'Resumen'!$B$8</x:f>
        <x:v>0</x:v>
      </x:c>
      <x:c r="P307" s="8" t="n">
        <x:f>M307+O307</x:f>
        <x:v>16276.740000000002</x:v>
      </x:c>
      <x:c r="Q307" s="8" t="n">
        <x:f>P307-H307</x:f>
        <x:v>9668.710000000003</x:v>
      </x:c>
      <x:c r="R307" s="8" t="n">
        <x:v>0</x:v>
      </x:c>
      <x:c r="S307" s="8" t="n">
        <x:f>R307*'Resumen'!$B$8</x:f>
        <x:v>0</x:v>
      </x:c>
      <x:c r="T307" s="8" t="n">
        <x:f>M307+S307</x:f>
        <x:v>16276.740000000002</x:v>
      </x:c>
      <x:c r="U307" s="8" t="n">
        <x:f>T307-H307</x:f>
        <x:v>9668.710000000003</x:v>
      </x:c>
      <x:c r="V307" s="27" t="n">
        <x:v>0</x:v>
      </x:c>
    </x:row>
    <x:row r="308">
      <x:c r="A308" s="28" t="str">
        <x:v>735593</x:v>
      </x:c>
      <x:c r="B308" s="25" t="n">
        <x:v>4</x:v>
      </x:c>
      <x:c r="C308" s="25" t="n">
        <x:v>3142</x:v>
      </x:c>
      <x:c r="D308" s="25" t="n">
        <x:f>IF(B308=0,0,C308/B308)</x:f>
        <x:v>785.5</x:v>
      </x:c>
      <x:c r="E308" s="26" t="n">
        <x:f>IF(D308=0,0,D308/MAX($D$6:$D$337))</x:f>
        <x:v>0.5619889615699101</x:v>
      </x:c>
      <x:c r="F308" s="26" t="n">
        <x:f>IF(B308=0,0,B308/MAX($B$6:$B$337))</x:f>
        <x:v>0.14285714285714285</x:v>
      </x:c>
      <x:c r="G308" s="26" t="n">
        <x:f>'Resumen'!$B$9*E308+'Resumen'!$B$10*F308</x:f>
        <x:v>0.4362494159560799</x:v>
      </x:c>
      <x:c r="H308" s="8" t="n">
        <x:v>11419.55</x:v>
      </x:c>
      <x:c r="I308" s="8" t="n">
        <x:v>16186.64</x:v>
      </x:c>
      <x:c r="J308" s="8" t="n">
        <x:f>MAX(H308-I308,0)</x:f>
        <x:v>0</x:v>
      </x:c>
      <x:c r="K308" s="8" t="n">
        <x:f>J308*G308</x:f>
        <x:v>0</x:v>
      </x:c>
      <x:c r="L308" s="8" t="n">
        <x:f>IFERROR('Resumen'!$B$14*K308/SUM($K$6:$K$337),0)</x:f>
        <x:v>0</x:v>
      </x:c>
      <x:c r="M308" s="8" t="n">
        <x:f>I308+L308</x:f>
        <x:v>16186.64</x:v>
      </x:c>
      <x:c r="N308" s="8" t="n">
        <x:v>0</x:v>
      </x:c>
      <x:c r="O308" s="8" t="n">
        <x:f>N308*'Resumen'!$B$8</x:f>
        <x:v>0</x:v>
      </x:c>
      <x:c r="P308" s="8" t="n">
        <x:f>M308+O308</x:f>
        <x:v>16186.64</x:v>
      </x:c>
      <x:c r="Q308" s="8" t="n">
        <x:f>P308-H308</x:f>
        <x:v>4767.09</x:v>
      </x:c>
      <x:c r="R308" s="8" t="n">
        <x:v>0</x:v>
      </x:c>
      <x:c r="S308" s="8" t="n">
        <x:f>R308*'Resumen'!$B$8</x:f>
        <x:v>0</x:v>
      </x:c>
      <x:c r="T308" s="8" t="n">
        <x:f>M308+S308</x:f>
        <x:v>16186.64</x:v>
      </x:c>
      <x:c r="U308" s="8" t="n">
        <x:f>T308-H308</x:f>
        <x:v>4767.09</x:v>
      </x:c>
      <x:c r="V308" s="27" t="n">
        <x:v>0</x:v>
      </x:c>
    </x:row>
    <x:row r="309">
      <x:c r="A309" s="28" t="str">
        <x:v>735594</x:v>
      </x:c>
      <x:c r="B309" s="25" t="n">
        <x:v>4</x:v>
      </x:c>
      <x:c r="C309" s="25" t="n">
        <x:v>2312</x:v>
      </x:c>
      <x:c r="D309" s="25" t="n">
        <x:f>IF(B309=0,0,C309/B309)</x:f>
        <x:v>578</x:v>
      </x:c>
      <x:c r="E309" s="26" t="n">
        <x:f>IF(D309=0,0,D309/MAX($D$6:$D$337))</x:f>
        <x:v>0.4135322976287817</x:v>
      </x:c>
      <x:c r="F309" s="26" t="n">
        <x:f>IF(B309=0,0,B309/MAX($B$6:$B$337))</x:f>
        <x:v>0.14285714285714285</x:v>
      </x:c>
      <x:c r="G309" s="26" t="n">
        <x:f>'Resumen'!$B$9*E309+'Resumen'!$B$10*F309</x:f>
        <x:v>0.33232975119729</x:v>
      </x:c>
      <x:c r="H309" s="8" t="n">
        <x:v>0</x:v>
      </x:c>
      <x:c r="I309" s="8" t="n">
        <x:v>10711.06</x:v>
      </x:c>
      <x:c r="J309" s="8" t="n">
        <x:f>MAX(H309-I309,0)</x:f>
        <x:v>0</x:v>
      </x:c>
      <x:c r="K309" s="8" t="n">
        <x:f>J309*G309</x:f>
        <x:v>0</x:v>
      </x:c>
      <x:c r="L309" s="8" t="n">
        <x:f>IFERROR('Resumen'!$B$14*K309/SUM($K$6:$K$337),0)</x:f>
        <x:v>0</x:v>
      </x:c>
      <x:c r="M309" s="8" t="n">
        <x:f>I309+L309</x:f>
        <x:v>10711.06</x:v>
      </x:c>
      <x:c r="N309" s="8" t="n">
        <x:v>0</x:v>
      </x:c>
      <x:c r="O309" s="8" t="n">
        <x:f>N309*'Resumen'!$B$8</x:f>
        <x:v>0</x:v>
      </x:c>
      <x:c r="P309" s="8" t="n">
        <x:f>M309+O309</x:f>
        <x:v>10711.06</x:v>
      </x:c>
      <x:c r="Q309" s="8" t="n">
        <x:f>P309-H309</x:f>
        <x:v>10711.06</x:v>
      </x:c>
      <x:c r="R309" s="8" t="n">
        <x:v>0</x:v>
      </x:c>
      <x:c r="S309" s="8" t="n">
        <x:f>R309*'Resumen'!$B$8</x:f>
        <x:v>0</x:v>
      </x:c>
      <x:c r="T309" s="8" t="n">
        <x:f>M309+S309</x:f>
        <x:v>10711.06</x:v>
      </x:c>
      <x:c r="U309" s="8" t="n">
        <x:f>T309-H309</x:f>
        <x:v>10711.06</x:v>
      </x:c>
      <x:c r="V309" s="27" t="n">
        <x:v>0</x:v>
      </x:c>
    </x:row>
    <x:row r="310">
      <x:c r="A310" s="28" t="str">
        <x:v>735595</x:v>
      </x:c>
      <x:c r="B310" s="25" t="n">
        <x:v>4</x:v>
      </x:c>
      <x:c r="C310" s="25" t="n">
        <x:v>2752</x:v>
      </x:c>
      <x:c r="D310" s="25" t="n">
        <x:f>IF(B310=0,0,C310/B310)</x:f>
        <x:v>688</x:v>
      </x:c>
      <x:c r="E310" s="26" t="n">
        <x:f>IF(D310=0,0,D310/MAX($D$6:$D$337))</x:f>
        <x:v>0.4922322158626328</x:v>
      </x:c>
      <x:c r="F310" s="26" t="n">
        <x:f>IF(B310=0,0,B310/MAX($B$6:$B$337))</x:f>
        <x:v>0.14285714285714285</x:v>
      </x:c>
      <x:c r="G310" s="26" t="n">
        <x:f>'Resumen'!$B$9*E310+'Resumen'!$B$10*F310</x:f>
        <x:v>0.38741969396098586</x:v>
      </x:c>
      <x:c r="H310" s="8" t="n">
        <x:v>0</x:v>
      </x:c>
      <x:c r="I310" s="8" t="n">
        <x:v>17738.14</x:v>
      </x:c>
      <x:c r="J310" s="8" t="n">
        <x:f>MAX(H310-I310,0)</x:f>
        <x:v>0</x:v>
      </x:c>
      <x:c r="K310" s="8" t="n">
        <x:f>J310*G310</x:f>
        <x:v>0</x:v>
      </x:c>
      <x:c r="L310" s="8" t="n">
        <x:f>IFERROR('Resumen'!$B$14*K310/SUM($K$6:$K$337),0)</x:f>
        <x:v>0</x:v>
      </x:c>
      <x:c r="M310" s="8" t="n">
        <x:f>I310+L310</x:f>
        <x:v>17738.14</x:v>
      </x:c>
      <x:c r="N310" s="8" t="n">
        <x:v>0</x:v>
      </x:c>
      <x:c r="O310" s="8" t="n">
        <x:f>N310*'Resumen'!$B$8</x:f>
        <x:v>0</x:v>
      </x:c>
      <x:c r="P310" s="8" t="n">
        <x:f>M310+O310</x:f>
        <x:v>17738.14</x:v>
      </x:c>
      <x:c r="Q310" s="8" t="n">
        <x:f>P310-H310</x:f>
        <x:v>17738.14</x:v>
      </x:c>
      <x:c r="R310" s="8" t="n">
        <x:v>0</x:v>
      </x:c>
      <x:c r="S310" s="8" t="n">
        <x:f>R310*'Resumen'!$B$8</x:f>
        <x:v>0</x:v>
      </x:c>
      <x:c r="T310" s="8" t="n">
        <x:f>M310+S310</x:f>
        <x:v>17738.14</x:v>
      </x:c>
      <x:c r="U310" s="8" t="n">
        <x:f>T310-H310</x:f>
        <x:v>17738.14</x:v>
      </x:c>
      <x:c r="V310" s="27" t="n">
        <x:v>0</x:v>
      </x:c>
    </x:row>
    <x:row r="311">
      <x:c r="A311" s="28" t="str">
        <x:v>735668</x:v>
      </x:c>
      <x:c r="B311" s="25" t="n">
        <x:v>2</x:v>
      </x:c>
      <x:c r="C311" s="25" t="n">
        <x:v>715</x:v>
      </x:c>
      <x:c r="D311" s="25" t="n">
        <x:f>IF(B311=0,0,C311/B311)</x:f>
        <x:v>357.5</x:v>
      </x:c>
      <x:c r="E311" s="26" t="n">
        <x:f>IF(D311=0,0,D311/MAX($D$6:$D$337))</x:f>
        <x:v>0.25577473426001635</x:v>
      </x:c>
      <x:c r="F311" s="26" t="n">
        <x:f>IF(B311=0,0,B311/MAX($B$6:$B$337))</x:f>
        <x:v>0.07142857142857142</x:v>
      </x:c>
      <x:c r="G311" s="26" t="n">
        <x:f>'Resumen'!$B$9*E311+'Resumen'!$B$10*F311</x:f>
        <x:v>0.20047088541058286</x:v>
      </x:c>
      <x:c r="H311" s="8" t="n">
        <x:v>0</x:v>
      </x:c>
      <x:c r="I311" s="8" t="n">
        <x:v>3182.12</x:v>
      </x:c>
      <x:c r="J311" s="8" t="n">
        <x:f>MAX(H311-I311,0)</x:f>
        <x:v>0</x:v>
      </x:c>
      <x:c r="K311" s="8" t="n">
        <x:f>J311*G311</x:f>
        <x:v>0</x:v>
      </x:c>
      <x:c r="L311" s="8" t="n">
        <x:f>IFERROR('Resumen'!$B$14*K311/SUM($K$6:$K$337),0)</x:f>
        <x:v>0</x:v>
      </x:c>
      <x:c r="M311" s="8" t="n">
        <x:f>I311+L311</x:f>
        <x:v>3182.12</x:v>
      </x:c>
      <x:c r="N311" s="8" t="n">
        <x:v>0</x:v>
      </x:c>
      <x:c r="O311" s="8" t="n">
        <x:f>N311*'Resumen'!$B$8</x:f>
        <x:v>0</x:v>
      </x:c>
      <x:c r="P311" s="8" t="n">
        <x:f>M311+O311</x:f>
        <x:v>3182.12</x:v>
      </x:c>
      <x:c r="Q311" s="8" t="n">
        <x:f>P311-H311</x:f>
        <x:v>3182.12</x:v>
      </x:c>
      <x:c r="R311" s="8" t="n">
        <x:v>0</x:v>
      </x:c>
      <x:c r="S311" s="8" t="n">
        <x:f>R311*'Resumen'!$B$8</x:f>
        <x:v>0</x:v>
      </x:c>
      <x:c r="T311" s="8" t="n">
        <x:f>M311+S311</x:f>
        <x:v>3182.12</x:v>
      </x:c>
      <x:c r="U311" s="8" t="n">
        <x:f>T311-H311</x:f>
        <x:v>3182.12</x:v>
      </x:c>
      <x:c r="V311" s="27" t="n">
        <x:v>0</x:v>
      </x:c>
    </x:row>
    <x:row r="312">
      <x:c r="A312" s="28" t="str">
        <x:v>735586</x:v>
      </x:c>
      <x:c r="B312" s="25" t="n">
        <x:v>2</x:v>
      </x:c>
      <x:c r="C312" s="25" t="n">
        <x:v>1153</x:v>
      </x:c>
      <x:c r="D312" s="25" t="n">
        <x:f>IF(B312=0,0,C312/B312)</x:f>
        <x:v>576.5</x:v>
      </x:c>
      <x:c r="E312" s="26" t="n">
        <x:f>IF(D312=0,0,D312/MAX($D$6:$D$337))</x:f>
        <x:v>0.4124591169255928</x:v>
      </x:c>
      <x:c r="F312" s="26" t="n">
        <x:f>IF(B312=0,0,B312/MAX($B$6:$B$337))</x:f>
        <x:v>0.07142857142857142</x:v>
      </x:c>
      <x:c r="G312" s="26" t="n">
        <x:f>'Resumen'!$B$9*E312+'Resumen'!$B$10*F312</x:f>
        <x:v>0.3101499532764863</x:v>
      </x:c>
      <x:c r="H312" s="8" t="n">
        <x:v>0</x:v>
      </x:c>
      <x:c r="I312" s="8" t="n">
        <x:v>8164.18</x:v>
      </x:c>
      <x:c r="J312" s="8" t="n">
        <x:f>MAX(H312-I312,0)</x:f>
        <x:v>0</x:v>
      </x:c>
      <x:c r="K312" s="8" t="n">
        <x:f>J312*G312</x:f>
        <x:v>0</x:v>
      </x:c>
      <x:c r="L312" s="8" t="n">
        <x:f>IFERROR('Resumen'!$B$14*K312/SUM($K$6:$K$337),0)</x:f>
        <x:v>0</x:v>
      </x:c>
      <x:c r="M312" s="8" t="n">
        <x:f>I312+L312</x:f>
        <x:v>8164.18</x:v>
      </x:c>
      <x:c r="N312" s="8" t="n">
        <x:v>0</x:v>
      </x:c>
      <x:c r="O312" s="8" t="n">
        <x:f>N312*'Resumen'!$B$8</x:f>
        <x:v>0</x:v>
      </x:c>
      <x:c r="P312" s="8" t="n">
        <x:f>M312+O312</x:f>
        <x:v>8164.18</x:v>
      </x:c>
      <x:c r="Q312" s="8" t="n">
        <x:f>P312-H312</x:f>
        <x:v>8164.18</x:v>
      </x:c>
      <x:c r="R312" s="8" t="n">
        <x:v>0</x:v>
      </x:c>
      <x:c r="S312" s="8" t="n">
        <x:f>R312*'Resumen'!$B$8</x:f>
        <x:v>0</x:v>
      </x:c>
      <x:c r="T312" s="8" t="n">
        <x:f>M312+S312</x:f>
        <x:v>8164.18</x:v>
      </x:c>
      <x:c r="U312" s="8" t="n">
        <x:f>T312-H312</x:f>
        <x:v>8164.18</x:v>
      </x:c>
      <x:c r="V312" s="27" t="n">
        <x:v>0</x:v>
      </x:c>
    </x:row>
    <x:row r="313">
      <x:c r="A313" s="28" t="str">
        <x:v>735670</x:v>
      </x:c>
      <x:c r="B313" s="25" t="n">
        <x:v>1</x:v>
      </x:c>
      <x:c r="C313" s="25" t="n">
        <x:v>452</x:v>
      </x:c>
      <x:c r="D313" s="25" t="n">
        <x:f>IF(B313=0,0,C313/B313)</x:f>
        <x:v>452</x:v>
      </x:c>
      <x:c r="E313" s="26" t="n">
        <x:f>IF(D313=0,0,D313/MAX($D$6:$D$337))</x:f>
        <x:v>0.3233851185609158</x:v>
      </x:c>
      <x:c r="F313" s="26" t="n">
        <x:f>IF(B313=0,0,B313/MAX($B$6:$B$337))</x:f>
        <x:v>0.03571428571428571</x:v>
      </x:c>
      <x:c r="G313" s="26" t="n">
        <x:f>'Resumen'!$B$9*E313+'Resumen'!$B$10*F313</x:f>
        <x:v>0.23708386870692674</x:v>
      </x:c>
      <x:c r="H313" s="8" t="n">
        <x:v>0</x:v>
      </x:c>
      <x:c r="I313" s="8" t="n">
        <x:v>1522.87</x:v>
      </x:c>
      <x:c r="J313" s="8" t="n">
        <x:f>MAX(H313-I313,0)</x:f>
        <x:v>0</x:v>
      </x:c>
      <x:c r="K313" s="8" t="n">
        <x:f>J313*G313</x:f>
        <x:v>0</x:v>
      </x:c>
      <x:c r="L313" s="8" t="n">
        <x:f>IFERROR('Resumen'!$B$14*K313/SUM($K$6:$K$337),0)</x:f>
        <x:v>0</x:v>
      </x:c>
      <x:c r="M313" s="8" t="n">
        <x:f>I313+L313</x:f>
        <x:v>1522.87</x:v>
      </x:c>
      <x:c r="N313" s="8" t="n">
        <x:v>0</x:v>
      </x:c>
      <x:c r="O313" s="8" t="n">
        <x:f>N313*'Resumen'!$B$8</x:f>
        <x:v>0</x:v>
      </x:c>
      <x:c r="P313" s="8" t="n">
        <x:f>M313+O313</x:f>
        <x:v>1522.87</x:v>
      </x:c>
      <x:c r="Q313" s="8" t="n">
        <x:f>P313-H313</x:f>
        <x:v>1522.87</x:v>
      </x:c>
      <x:c r="R313" s="8" t="n">
        <x:v>0</x:v>
      </x:c>
      <x:c r="S313" s="8" t="n">
        <x:f>R313*'Resumen'!$B$8</x:f>
        <x:v>0</x:v>
      </x:c>
      <x:c r="T313" s="8" t="n">
        <x:f>M313+S313</x:f>
        <x:v>1522.87</x:v>
      </x:c>
      <x:c r="U313" s="8" t="n">
        <x:f>T313-H313</x:f>
        <x:v>1522.87</x:v>
      </x:c>
      <x:c r="V313" s="27" t="n">
        <x:v>0</x:v>
      </x:c>
    </x:row>
    <x:row r="314">
      <x:c r="A314" s="28" t="str">
        <x:v>735671</x:v>
      </x:c>
      <x:c r="B314" s="25" t="n">
        <x:v>1</x:v>
      </x:c>
      <x:c r="C314" s="25" t="n">
        <x:v>533</x:v>
      </x:c>
      <x:c r="D314" s="25" t="n">
        <x:f>IF(B314=0,0,C314/B314)</x:f>
        <x:v>533</x:v>
      </x:c>
      <x:c r="E314" s="26" t="n">
        <x:f>IF(D314=0,0,D314/MAX($D$6:$D$337))</x:f>
        <x:v>0.38133687653311527</x:v>
      </x:c>
      <x:c r="F314" s="26" t="n">
        <x:f>IF(B314=0,0,B314/MAX($B$6:$B$337))</x:f>
        <x:v>0.03571428571428571</x:v>
      </x:c>
      <x:c r="G314" s="26" t="n">
        <x:f>'Resumen'!$B$9*E314+'Resumen'!$B$10*F314</x:f>
        <x:v>0.2776500992874664</x:v>
      </x:c>
      <x:c r="H314" s="8" t="n">
        <x:v>0</x:v>
      </x:c>
      <x:c r="I314" s="8" t="n">
        <x:v>1402.56</x:v>
      </x:c>
      <x:c r="J314" s="8" t="n">
        <x:f>MAX(H314-I314,0)</x:f>
        <x:v>0</x:v>
      </x:c>
      <x:c r="K314" s="8" t="n">
        <x:f>J314*G314</x:f>
        <x:v>0</x:v>
      </x:c>
      <x:c r="L314" s="8" t="n">
        <x:f>IFERROR('Resumen'!$B$14*K314/SUM($K$6:$K$337),0)</x:f>
        <x:v>0</x:v>
      </x:c>
      <x:c r="M314" s="8" t="n">
        <x:f>I314+L314</x:f>
        <x:v>1402.56</x:v>
      </x:c>
      <x:c r="N314" s="8" t="n">
        <x:v>0</x:v>
      </x:c>
      <x:c r="O314" s="8" t="n">
        <x:f>N314*'Resumen'!$B$8</x:f>
        <x:v>0</x:v>
      </x:c>
      <x:c r="P314" s="8" t="n">
        <x:f>M314+O314</x:f>
        <x:v>1402.56</x:v>
      </x:c>
      <x:c r="Q314" s="8" t="n">
        <x:f>P314-H314</x:f>
        <x:v>1402.56</x:v>
      </x:c>
      <x:c r="R314" s="8" t="n">
        <x:v>0</x:v>
      </x:c>
      <x:c r="S314" s="8" t="n">
        <x:f>R314*'Resumen'!$B$8</x:f>
        <x:v>0</x:v>
      </x:c>
      <x:c r="T314" s="8" t="n">
        <x:f>M314+S314</x:f>
        <x:v>1402.56</x:v>
      </x:c>
      <x:c r="U314" s="8" t="n">
        <x:f>T314-H314</x:f>
        <x:v>1402.56</x:v>
      </x:c>
      <x:c r="V314" s="27" t="n">
        <x:v>0</x:v>
      </x:c>
    </x:row>
    <x:row r="315">
      <x:c r="A315" s="28" t="str">
        <x:v>735673</x:v>
      </x:c>
      <x:c r="B315" s="25" t="n">
        <x:v>1</x:v>
      </x:c>
      <x:c r="C315" s="25" t="n">
        <x:v>276</x:v>
      </x:c>
      <x:c r="D315" s="25" t="n">
        <x:f>IF(B315=0,0,C315/B315)</x:f>
        <x:v>276</x:v>
      </x:c>
      <x:c r="E315" s="26" t="n">
        <x:f>IF(D315=0,0,D315/MAX($D$6:$D$337))</x:f>
        <x:v>0.1974652493867539</x:v>
      </x:c>
      <x:c r="F315" s="26" t="n">
        <x:f>IF(B315=0,0,B315/MAX($B$6:$B$337))</x:f>
        <x:v>0.03571428571428571</x:v>
      </x:c>
      <x:c r="G315" s="26" t="n">
        <x:f>'Resumen'!$B$9*E315+'Resumen'!$B$10*F315</x:f>
        <x:v>0.1489399602850134</x:v>
      </x:c>
      <x:c r="H315" s="8" t="n">
        <x:v>0</x:v>
      </x:c>
      <x:c r="I315" s="8" t="n">
        <x:v>445.65</x:v>
      </x:c>
      <x:c r="J315" s="8" t="n">
        <x:f>MAX(H315-I315,0)</x:f>
        <x:v>0</x:v>
      </x:c>
      <x:c r="K315" s="8" t="n">
        <x:f>J315*G315</x:f>
        <x:v>0</x:v>
      </x:c>
      <x:c r="L315" s="8" t="n">
        <x:f>IFERROR('Resumen'!$B$14*K315/SUM($K$6:$K$337),0)</x:f>
        <x:v>0</x:v>
      </x:c>
      <x:c r="M315" s="8" t="n">
        <x:f>I315+L315</x:f>
        <x:v>445.65</x:v>
      </x:c>
      <x:c r="N315" s="8" t="n">
        <x:v>0</x:v>
      </x:c>
      <x:c r="O315" s="8" t="n">
        <x:f>N315*'Resumen'!$B$8</x:f>
        <x:v>0</x:v>
      </x:c>
      <x:c r="P315" s="8" t="n">
        <x:f>M315+O315</x:f>
        <x:v>445.65</x:v>
      </x:c>
      <x:c r="Q315" s="8" t="n">
        <x:f>P315-H315</x:f>
        <x:v>445.65</x:v>
      </x:c>
      <x:c r="R315" s="8" t="n">
        <x:v>0</x:v>
      </x:c>
      <x:c r="S315" s="8" t="n">
        <x:f>R315*'Resumen'!$B$8</x:f>
        <x:v>0</x:v>
      </x:c>
      <x:c r="T315" s="8" t="n">
        <x:f>M315+S315</x:f>
        <x:v>445.65</x:v>
      </x:c>
      <x:c r="U315" s="8" t="n">
        <x:f>T315-H315</x:f>
        <x:v>445.65</x:v>
      </x:c>
      <x:c r="V315" s="27" t="n">
        <x:v>0</x:v>
      </x:c>
    </x:row>
    <x:row r="316">
      <x:c r="A316" s="28" t="str">
        <x:v>735688</x:v>
      </x:c>
      <x:c r="B316" s="25" t="n">
        <x:v>1</x:v>
      </x:c>
      <x:c r="C316" s="25" t="n">
        <x:v>225</x:v>
      </x:c>
      <x:c r="D316" s="25" t="n">
        <x:f>IF(B316=0,0,C316/B316)</x:f>
        <x:v>225</x:v>
      </x:c>
      <x:c r="E316" s="26" t="n">
        <x:f>IF(D316=0,0,D316/MAX($D$6:$D$337))</x:f>
        <x:v>0.16097710547833197</x:v>
      </x:c>
      <x:c r="F316" s="26" t="n">
        <x:f>IF(B316=0,0,B316/MAX($B$6:$B$337))</x:f>
        <x:v>0.03571428571428571</x:v>
      </x:c>
      <x:c r="G316" s="26" t="n">
        <x:f>'Resumen'!$B$9*E316+'Resumen'!$B$10*F316</x:f>
        <x:v>0.12339825954911808</x:v>
      </x:c>
      <x:c r="H316" s="8" t="n">
        <x:v>0</x:v>
      </x:c>
      <x:c r="I316" s="8" t="n">
        <x:v>1990.53</x:v>
      </x:c>
      <x:c r="J316" s="8" t="n">
        <x:f>MAX(H316-I316,0)</x:f>
        <x:v>0</x:v>
      </x:c>
      <x:c r="K316" s="8" t="n">
        <x:f>J316*G316</x:f>
        <x:v>0</x:v>
      </x:c>
      <x:c r="L316" s="8" t="n">
        <x:f>IFERROR('Resumen'!$B$14*K316/SUM($K$6:$K$337),0)</x:f>
        <x:v>0</x:v>
      </x:c>
      <x:c r="M316" s="8" t="n">
        <x:f>I316+L316</x:f>
        <x:v>1990.53</x:v>
      </x:c>
      <x:c r="N316" s="8" t="n">
        <x:v>0</x:v>
      </x:c>
      <x:c r="O316" s="8" t="n">
        <x:f>N316*'Resumen'!$B$8</x:f>
        <x:v>0</x:v>
      </x:c>
      <x:c r="P316" s="8" t="n">
        <x:f>M316+O316</x:f>
        <x:v>1990.53</x:v>
      </x:c>
      <x:c r="Q316" s="8" t="n">
        <x:f>P316-H316</x:f>
        <x:v>1990.53</x:v>
      </x:c>
      <x:c r="R316" s="8" t="n">
        <x:v>0</x:v>
      </x:c>
      <x:c r="S316" s="8" t="n">
        <x:f>R316*'Resumen'!$B$8</x:f>
        <x:v>0</x:v>
      </x:c>
      <x:c r="T316" s="8" t="n">
        <x:f>M316+S316</x:f>
        <x:v>1990.53</x:v>
      </x:c>
      <x:c r="U316" s="8" t="n">
        <x:f>T316-H316</x:f>
        <x:v>1990.53</x:v>
      </x:c>
      <x:c r="V316" s="27" t="n">
        <x:v>0</x:v>
      </x:c>
    </x:row>
    <x:row r="317">
      <x:c r="A317" s="28" t="str">
        <x:v>735708</x:v>
      </x:c>
      <x:c r="B317" s="25" t="n">
        <x:v>2</x:v>
      </x:c>
      <x:c r="C317" s="25" t="n">
        <x:v>829</x:v>
      </x:c>
      <x:c r="D317" s="25" t="n">
        <x:f>IF(B317=0,0,C317/B317)</x:f>
        <x:v>414.5</x:v>
      </x:c>
      <x:c r="E317" s="26" t="n">
        <x:f>IF(D317=0,0,D317/MAX($D$6:$D$337))</x:f>
        <x:v>0.29655560098119377</x:v>
      </x:c>
      <x:c r="F317" s="26" t="n">
        <x:f>IF(B317=0,0,B317/MAX($B$6:$B$337))</x:f>
        <x:v>0.07142857142857142</x:v>
      </x:c>
      <x:c r="G317" s="26" t="n">
        <x:f>'Resumen'!$B$9*E317+'Resumen'!$B$10*F317</x:f>
        <x:v>0.22901749211540706</x:v>
      </x:c>
      <x:c r="H317" s="8" t="n">
        <x:v>0</x:v>
      </x:c>
      <x:c r="I317" s="8" t="n">
        <x:v>6606.95</x:v>
      </x:c>
      <x:c r="J317" s="8" t="n">
        <x:f>MAX(H317-I317,0)</x:f>
        <x:v>0</x:v>
      </x:c>
      <x:c r="K317" s="8" t="n">
        <x:f>J317*G317</x:f>
        <x:v>0</x:v>
      </x:c>
      <x:c r="L317" s="8" t="n">
        <x:f>IFERROR('Resumen'!$B$14*K317/SUM($K$6:$K$337),0)</x:f>
        <x:v>0</x:v>
      </x:c>
      <x:c r="M317" s="8" t="n">
        <x:f>I317+L317</x:f>
        <x:v>6606.95</x:v>
      </x:c>
      <x:c r="N317" s="8" t="n">
        <x:v>0</x:v>
      </x:c>
      <x:c r="O317" s="8" t="n">
        <x:f>N317*'Resumen'!$B$8</x:f>
        <x:v>0</x:v>
      </x:c>
      <x:c r="P317" s="8" t="n">
        <x:f>M317+O317</x:f>
        <x:v>6606.95</x:v>
      </x:c>
      <x:c r="Q317" s="8" t="n">
        <x:f>P317-H317</x:f>
        <x:v>6606.95</x:v>
      </x:c>
      <x:c r="R317" s="8" t="n">
        <x:v>0</x:v>
      </x:c>
      <x:c r="S317" s="8" t="n">
        <x:f>R317*'Resumen'!$B$8</x:f>
        <x:v>0</x:v>
      </x:c>
      <x:c r="T317" s="8" t="n">
        <x:f>M317+S317</x:f>
        <x:v>6606.95</x:v>
      </x:c>
      <x:c r="U317" s="8" t="n">
        <x:f>T317-H317</x:f>
        <x:v>6606.95</x:v>
      </x:c>
      <x:c r="V317" s="27" t="n">
        <x:v>0</x:v>
      </x:c>
    </x:row>
    <x:row r="318">
      <x:c r="A318" s="28" t="str">
        <x:v>735320</x:v>
      </x:c>
      <x:c r="B318" s="25" t="n">
        <x:v>1</x:v>
      </x:c>
      <x:c r="C318" s="25" t="n">
        <x:v>947</x:v>
      </x:c>
      <x:c r="D318" s="25" t="n">
        <x:f>IF(B318=0,0,C318/B318)</x:f>
        <x:v>947</x:v>
      </x:c>
      <x:c r="E318" s="26" t="n">
        <x:f>IF(D318=0,0,D318/MAX($D$6:$D$337))</x:f>
        <x:v>0.6775347506132461</x:v>
      </x:c>
      <x:c r="F318" s="26" t="n">
        <x:f>IF(B318=0,0,B318/MAX($B$6:$B$337))</x:f>
        <x:v>0.03571428571428571</x:v>
      </x:c>
      <x:c r="G318" s="26" t="n">
        <x:f>'Resumen'!$B$9*E318+'Resumen'!$B$10*F318</x:f>
        <x:v>0.48498861114355796</x:v>
      </x:c>
      <x:c r="H318" s="8" t="n">
        <x:v>4811.52</x:v>
      </x:c>
      <x:c r="I318" s="8" t="n">
        <x:v>5732.48</x:v>
      </x:c>
      <x:c r="J318" s="8" t="n">
        <x:f>MAX(H318-I318,0)</x:f>
        <x:v>0</x:v>
      </x:c>
      <x:c r="K318" s="8" t="n">
        <x:f>J318*G318</x:f>
        <x:v>0</x:v>
      </x:c>
      <x:c r="L318" s="8" t="n">
        <x:f>IFERROR('Resumen'!$B$14*K318/SUM($K$6:$K$337),0)</x:f>
        <x:v>0</x:v>
      </x:c>
      <x:c r="M318" s="8" t="n">
        <x:f>I318+L318</x:f>
        <x:v>5732.48</x:v>
      </x:c>
      <x:c r="N318" s="8" t="n">
        <x:v>0</x:v>
      </x:c>
      <x:c r="O318" s="8" t="n">
        <x:f>N318*'Resumen'!$B$8</x:f>
        <x:v>0</x:v>
      </x:c>
      <x:c r="P318" s="8" t="n">
        <x:f>M318+O318</x:f>
        <x:v>5732.48</x:v>
      </x:c>
      <x:c r="Q318" s="8" t="n">
        <x:f>P318-H318</x:f>
        <x:v>920.9599999999991</x:v>
      </x:c>
      <x:c r="R318" s="8" t="n">
        <x:v>0</x:v>
      </x:c>
      <x:c r="S318" s="8" t="n">
        <x:f>R318*'Resumen'!$B$8</x:f>
        <x:v>0</x:v>
      </x:c>
      <x:c r="T318" s="8" t="n">
        <x:f>M318+S318</x:f>
        <x:v>5732.48</x:v>
      </x:c>
      <x:c r="U318" s="8" t="n">
        <x:f>T318-H318</x:f>
        <x:v>920.9599999999991</x:v>
      </x:c>
      <x:c r="V318" s="27" t="n">
        <x:v>0</x:v>
      </x:c>
    </x:row>
    <x:row r="319">
      <x:c r="A319" s="28" t="str">
        <x:v>735321</x:v>
      </x:c>
      <x:c r="B319" s="25" t="n">
        <x:v>1</x:v>
      </x:c>
      <x:c r="C319" s="25" t="n">
        <x:v>863</x:v>
      </x:c>
      <x:c r="D319" s="25" t="n">
        <x:f>IF(B319=0,0,C319/B319)</x:f>
        <x:v>863</x:v>
      </x:c>
      <x:c r="E319" s="26" t="n">
        <x:f>IF(D319=0,0,D319/MAX($D$6:$D$337))</x:f>
        <x:v>0.6174366312346689</x:v>
      </x:c>
      <x:c r="F319" s="26" t="n">
        <x:f>IF(B319=0,0,B319/MAX($B$6:$B$337))</x:f>
        <x:v>0.03571428571428571</x:v>
      </x:c>
      <x:c r="G319" s="26" t="n">
        <x:f>'Resumen'!$B$9*E319+'Resumen'!$B$10*F319</x:f>
        <x:v>0.4429199275785539</x:v>
      </x:c>
      <x:c r="H319" s="8" t="n">
        <x:v>4804</x:v>
      </x:c>
      <x:c r="I319" s="8" t="n">
        <x:v>10152.15</x:v>
      </x:c>
      <x:c r="J319" s="8" t="n">
        <x:f>MAX(H319-I319,0)</x:f>
        <x:v>0</x:v>
      </x:c>
      <x:c r="K319" s="8" t="n">
        <x:f>J319*G319</x:f>
        <x:v>0</x:v>
      </x:c>
      <x:c r="L319" s="8" t="n">
        <x:f>IFERROR('Resumen'!$B$14*K319/SUM($K$6:$K$337),0)</x:f>
        <x:v>0</x:v>
      </x:c>
      <x:c r="M319" s="8" t="n">
        <x:f>I319+L319</x:f>
        <x:v>10152.15</x:v>
      </x:c>
      <x:c r="N319" s="8" t="n">
        <x:v>0</x:v>
      </x:c>
      <x:c r="O319" s="8" t="n">
        <x:f>N319*'Resumen'!$B$8</x:f>
        <x:v>0</x:v>
      </x:c>
      <x:c r="P319" s="8" t="n">
        <x:f>M319+O319</x:f>
        <x:v>10152.15</x:v>
      </x:c>
      <x:c r="Q319" s="8" t="n">
        <x:f>P319-H319</x:f>
        <x:v>5348.15</x:v>
      </x:c>
      <x:c r="R319" s="8" t="n">
        <x:v>0</x:v>
      </x:c>
      <x:c r="S319" s="8" t="n">
        <x:f>R319*'Resumen'!$B$8</x:f>
        <x:v>0</x:v>
      </x:c>
      <x:c r="T319" s="8" t="n">
        <x:f>M319+S319</x:f>
        <x:v>10152.15</x:v>
      </x:c>
      <x:c r="U319" s="8" t="n">
        <x:f>T319-H319</x:f>
        <x:v>5348.15</x:v>
      </x:c>
      <x:c r="V319" s="27" t="n">
        <x:v>0</x:v>
      </x:c>
    </x:row>
    <x:row r="320">
      <x:c r="A320" s="28" t="str">
        <x:v>735322</x:v>
      </x:c>
      <x:c r="B320" s="25" t="n">
        <x:v>1</x:v>
      </x:c>
      <x:c r="C320" s="25" t="n">
        <x:v>888</x:v>
      </x:c>
      <x:c r="D320" s="25" t="n">
        <x:f>IF(B320=0,0,C320/B320)</x:f>
        <x:v>888</x:v>
      </x:c>
      <x:c r="E320" s="26" t="n">
        <x:f>IF(D320=0,0,D320/MAX($D$6:$D$337))</x:f>
        <x:v>0.6353229762878169</x:v>
      </x:c>
      <x:c r="F320" s="26" t="n">
        <x:f>IF(B320=0,0,B320/MAX($B$6:$B$337))</x:f>
        <x:v>0.03571428571428571</x:v>
      </x:c>
      <x:c r="G320" s="26" t="n">
        <x:f>'Resumen'!$B$9*E320+'Resumen'!$B$10*F320</x:f>
        <x:v>0.4554403691157575</x:v>
      </x:c>
      <x:c r="H320" s="8" t="n">
        <x:v>4811.52</x:v>
      </x:c>
      <x:c r="I320" s="8" t="n">
        <x:v>8073.66</x:v>
      </x:c>
      <x:c r="J320" s="8" t="n">
        <x:f>MAX(H320-I320,0)</x:f>
        <x:v>0</x:v>
      </x:c>
      <x:c r="K320" s="8" t="n">
        <x:f>J320*G320</x:f>
        <x:v>0</x:v>
      </x:c>
      <x:c r="L320" s="8" t="n">
        <x:f>IFERROR('Resumen'!$B$14*K320/SUM($K$6:$K$337),0)</x:f>
        <x:v>0</x:v>
      </x:c>
      <x:c r="M320" s="8" t="n">
        <x:f>I320+L320</x:f>
        <x:v>8073.66</x:v>
      </x:c>
      <x:c r="N320" s="8" t="n">
        <x:v>0</x:v>
      </x:c>
      <x:c r="O320" s="8" t="n">
        <x:f>N320*'Resumen'!$B$8</x:f>
        <x:v>0</x:v>
      </x:c>
      <x:c r="P320" s="8" t="n">
        <x:f>M320+O320</x:f>
        <x:v>8073.66</x:v>
      </x:c>
      <x:c r="Q320" s="8" t="n">
        <x:f>P320-H320</x:f>
        <x:v>3262.1399999999994</x:v>
      </x:c>
      <x:c r="R320" s="8" t="n">
        <x:v>0</x:v>
      </x:c>
      <x:c r="S320" s="8" t="n">
        <x:f>R320*'Resumen'!$B$8</x:f>
        <x:v>0</x:v>
      </x:c>
      <x:c r="T320" s="8" t="n">
        <x:f>M320+S320</x:f>
        <x:v>8073.66</x:v>
      </x:c>
      <x:c r="U320" s="8" t="n">
        <x:f>T320-H320</x:f>
        <x:v>3262.1399999999994</x:v>
      </x:c>
      <x:c r="V320" s="27" t="n">
        <x:v>0</x:v>
      </x:c>
    </x:row>
    <x:row r="321">
      <x:c r="A321" s="28" t="str">
        <x:v>735323</x:v>
      </x:c>
      <x:c r="B321" s="25" t="n">
        <x:v>1</x:v>
      </x:c>
      <x:c r="C321" s="25" t="n">
        <x:v>1381</x:v>
      </x:c>
      <x:c r="D321" s="25" t="n">
        <x:f>IF(B321=0,0,C321/B321)</x:f>
        <x:v>1381</x:v>
      </x:c>
      <x:c r="E321" s="26" t="n">
        <x:f>IF(D321=0,0,D321/MAX($D$6:$D$337))</x:f>
        <x:v>0.9880417007358953</x:v>
      </x:c>
      <x:c r="F321" s="26" t="n">
        <x:f>IF(B321=0,0,B321/MAX($B$6:$B$337))</x:f>
        <x:v>0.03571428571428571</x:v>
      </x:c>
      <x:c r="G321" s="26" t="n">
        <x:f>'Resumen'!$B$9*E321+'Resumen'!$B$10*F321</x:f>
        <x:v>0.7023434762294123</x:v>
      </x:c>
      <x:c r="H321" s="8" t="n">
        <x:v>27887.47</x:v>
      </x:c>
      <x:c r="I321" s="8" t="n">
        <x:v>17019.38</x:v>
      </x:c>
      <x:c r="J321" s="8" t="n">
        <x:f>MAX(H321-I321,0)</x:f>
        <x:v>10868.09</x:v>
      </x:c>
      <x:c r="K321" s="8" t="n">
        <x:f>J321*G321</x:f>
        <x:v>7633.1321105741135</x:v>
      </x:c>
      <x:c r="L321" s="8" t="n">
        <x:f>IFERROR('Resumen'!$B$14*K321/SUM($K$6:$K$337),0)</x:f>
        <x:v>5528.895389728078</x:v>
      </x:c>
      <x:c r="M321" s="8" t="n">
        <x:f>I321+L321</x:f>
        <x:v>22548.275389728078</x:v>
      </x:c>
      <x:c r="N321" s="8" t="n">
        <x:v>0</x:v>
      </x:c>
      <x:c r="O321" s="8" t="n">
        <x:f>N321*'Resumen'!$B$8</x:f>
        <x:v>0</x:v>
      </x:c>
      <x:c r="P321" s="8" t="n">
        <x:f>M321+O321</x:f>
        <x:v>22548.275389728078</x:v>
      </x:c>
      <x:c r="Q321" s="8" t="n">
        <x:f>P321-H321</x:f>
        <x:v>-5339.194610271923</x:v>
      </x:c>
      <x:c r="R321" s="8" t="n">
        <x:v>0</x:v>
      </x:c>
      <x:c r="S321" s="8" t="n">
        <x:f>R321*'Resumen'!$B$8</x:f>
        <x:v>0</x:v>
      </x:c>
      <x:c r="T321" s="8" t="n">
        <x:f>M321+S321</x:f>
        <x:v>22548.275389728078</x:v>
      </x:c>
      <x:c r="U321" s="8" t="n">
        <x:f>T321-H321</x:f>
        <x:v>-5339.194610271923</x:v>
      </x:c>
      <x:c r="V321" s="27" t="n">
        <x:v>0</x:v>
      </x:c>
    </x:row>
    <x:row r="322">
      <x:c r="A322" s="28" t="str">
        <x:v>735324</x:v>
      </x:c>
      <x:c r="B322" s="25" t="n">
        <x:v>1</x:v>
      </x:c>
      <x:c r="C322" s="25" t="n">
        <x:v>1104</x:v>
      </x:c>
      <x:c r="D322" s="25" t="n">
        <x:f>IF(B322=0,0,C322/B322)</x:f>
        <x:v>1104</x:v>
      </x:c>
      <x:c r="E322" s="26" t="n">
        <x:f>IF(D322=0,0,D322/MAX($D$6:$D$337))</x:f>
        <x:v>0.7898609975470156</x:v>
      </x:c>
      <x:c r="F322" s="26" t="n">
        <x:f>IF(B322=0,0,B322/MAX($B$6:$B$337))</x:f>
        <x:v>0.03571428571428571</x:v>
      </x:c>
      <x:c r="G322" s="26" t="n">
        <x:f>'Resumen'!$B$9*E322+'Resumen'!$B$10*F322</x:f>
        <x:v>0.5636169839971965</x:v>
      </x:c>
      <x:c r="H322" s="8" t="n">
        <x:v>7431.95</x:v>
      </x:c>
      <x:c r="I322" s="8" t="n">
        <x:v>11322.5</x:v>
      </x:c>
      <x:c r="J322" s="8" t="n">
        <x:f>MAX(H322-I322,0)</x:f>
        <x:v>0</x:v>
      </x:c>
      <x:c r="K322" s="8" t="n">
        <x:f>J322*G322</x:f>
        <x:v>0</x:v>
      </x:c>
      <x:c r="L322" s="8" t="n">
        <x:f>IFERROR('Resumen'!$B$14*K322/SUM($K$6:$K$337),0)</x:f>
        <x:v>0</x:v>
      </x:c>
      <x:c r="M322" s="8" t="n">
        <x:f>I322+L322</x:f>
        <x:v>11322.5</x:v>
      </x:c>
      <x:c r="N322" s="8" t="n">
        <x:v>0</x:v>
      </x:c>
      <x:c r="O322" s="8" t="n">
        <x:f>N322*'Resumen'!$B$8</x:f>
        <x:v>0</x:v>
      </x:c>
      <x:c r="P322" s="8" t="n">
        <x:f>M322+O322</x:f>
        <x:v>11322.5</x:v>
      </x:c>
      <x:c r="Q322" s="8" t="n">
        <x:f>P322-H322</x:f>
        <x:v>3890.55</x:v>
      </x:c>
      <x:c r="R322" s="8" t="n">
        <x:v>0</x:v>
      </x:c>
      <x:c r="S322" s="8" t="n">
        <x:f>R322*'Resumen'!$B$8</x:f>
        <x:v>0</x:v>
      </x:c>
      <x:c r="T322" s="8" t="n">
        <x:f>M322+S322</x:f>
        <x:v>11322.5</x:v>
      </x:c>
      <x:c r="U322" s="8" t="n">
        <x:f>T322-H322</x:f>
        <x:v>3890.55</x:v>
      </x:c>
      <x:c r="V322" s="27" t="n">
        <x:v>0</x:v>
      </x:c>
    </x:row>
    <x:row r="323">
      <x:c r="A323" s="28" t="str">
        <x:v>735325</x:v>
      </x:c>
      <x:c r="B323" s="25" t="n">
        <x:v>1</x:v>
      </x:c>
      <x:c r="C323" s="25" t="n">
        <x:v>924</x:v>
      </x:c>
      <x:c r="D323" s="25" t="n">
        <x:f>IF(B323=0,0,C323/B323)</x:f>
        <x:v>924</x:v>
      </x:c>
      <x:c r="E323" s="26" t="n">
        <x:f>IF(D323=0,0,D323/MAX($D$6:$D$337))</x:f>
        <x:v>0.66107931316435</x:v>
      </x:c>
      <x:c r="F323" s="26" t="n">
        <x:f>IF(B323=0,0,B323/MAX($B$6:$B$337))</x:f>
        <x:v>0.03571428571428571</x:v>
      </x:c>
      <x:c r="G323" s="26" t="n">
        <x:f>'Resumen'!$B$9*E323+'Resumen'!$B$10*F323</x:f>
        <x:v>0.47346980492933066</x:v>
      </x:c>
      <x:c r="H323" s="8" t="n">
        <x:v>7769.39</x:v>
      </x:c>
      <x:c r="I323" s="8" t="n">
        <x:v>7337.69</x:v>
      </x:c>
      <x:c r="J323" s="8" t="n">
        <x:f>MAX(H323-I323,0)</x:f>
        <x:v>431.7000000000007</x:v>
      </x:c>
      <x:c r="K323" s="8" t="n">
        <x:f>J323*G323</x:f>
        <x:v>204.3969147879924</x:v>
      </x:c>
      <x:c r="L323" s="8" t="n">
        <x:f>IFERROR('Resumen'!$B$14*K323/SUM($K$6:$K$337),0)</x:f>
        <x:v>148.0505175955845</x:v>
      </x:c>
      <x:c r="M323" s="8" t="n">
        <x:f>I323+L323</x:f>
        <x:v>7485.740517595584</x:v>
      </x:c>
      <x:c r="N323" s="8" t="n">
        <x:v>0</x:v>
      </x:c>
      <x:c r="O323" s="8" t="n">
        <x:f>N323*'Resumen'!$B$8</x:f>
        <x:v>0</x:v>
      </x:c>
      <x:c r="P323" s="8" t="n">
        <x:f>M323+O323</x:f>
        <x:v>7485.740517595584</x:v>
      </x:c>
      <x:c r="Q323" s="8" t="n">
        <x:f>P323-H323</x:f>
        <x:v>-283.64948240441663</x:v>
      </x:c>
      <x:c r="R323" s="8" t="n">
        <x:v>0</x:v>
      </x:c>
      <x:c r="S323" s="8" t="n">
        <x:f>R323*'Resumen'!$B$8</x:f>
        <x:v>0</x:v>
      </x:c>
      <x:c r="T323" s="8" t="n">
        <x:f>M323+S323</x:f>
        <x:v>7485.740517595584</x:v>
      </x:c>
      <x:c r="U323" s="8" t="n">
        <x:f>T323-H323</x:f>
        <x:v>-283.64948240441663</x:v>
      </x:c>
      <x:c r="V323" s="27" t="n">
        <x:v>0</x:v>
      </x:c>
    </x:row>
    <x:row r="324">
      <x:c r="A324" s="28" t="str">
        <x:v>735326</x:v>
      </x:c>
      <x:c r="B324" s="25" t="n">
        <x:v>1</x:v>
      </x:c>
      <x:c r="C324" s="25" t="n">
        <x:v>1008</x:v>
      </x:c>
      <x:c r="D324" s="25" t="n">
        <x:f>IF(B324=0,0,C324/B324)</x:f>
        <x:v>1008</x:v>
      </x:c>
      <x:c r="E324" s="26" t="n">
        <x:f>IF(D324=0,0,D324/MAX($D$6:$D$337))</x:f>
        <x:v>0.7211774325429272</x:v>
      </x:c>
      <x:c r="F324" s="26" t="n">
        <x:f>IF(B324=0,0,B324/MAX($B$6:$B$337))</x:f>
        <x:v>0.03571428571428571</x:v>
      </x:c>
      <x:c r="G324" s="26" t="n">
        <x:f>'Resumen'!$B$9*E324+'Resumen'!$B$10*F324</x:f>
        <x:v>0.5155384884943347</x:v>
      </x:c>
      <x:c r="H324" s="8" t="n">
        <x:v>4811.52</x:v>
      </x:c>
      <x:c r="I324" s="8" t="n">
        <x:v>11919.44</x:v>
      </x:c>
      <x:c r="J324" s="8" t="n">
        <x:f>MAX(H324-I324,0)</x:f>
        <x:v>0</x:v>
      </x:c>
      <x:c r="K324" s="8" t="n">
        <x:f>J324*G324</x:f>
        <x:v>0</x:v>
      </x:c>
      <x:c r="L324" s="8" t="n">
        <x:f>IFERROR('Resumen'!$B$14*K324/SUM($K$6:$K$337),0)</x:f>
        <x:v>0</x:v>
      </x:c>
      <x:c r="M324" s="8" t="n">
        <x:f>I324+L324</x:f>
        <x:v>11919.44</x:v>
      </x:c>
      <x:c r="N324" s="8" t="n">
        <x:v>0</x:v>
      </x:c>
      <x:c r="O324" s="8" t="n">
        <x:f>N324*'Resumen'!$B$8</x:f>
        <x:v>0</x:v>
      </x:c>
      <x:c r="P324" s="8" t="n">
        <x:f>M324+O324</x:f>
        <x:v>11919.44</x:v>
      </x:c>
      <x:c r="Q324" s="8" t="n">
        <x:f>P324-H324</x:f>
        <x:v>7107.92</x:v>
      </x:c>
      <x:c r="R324" s="8" t="n">
        <x:v>0</x:v>
      </x:c>
      <x:c r="S324" s="8" t="n">
        <x:f>R324*'Resumen'!$B$8</x:f>
        <x:v>0</x:v>
      </x:c>
      <x:c r="T324" s="8" t="n">
        <x:f>M324+S324</x:f>
        <x:v>11919.44</x:v>
      </x:c>
      <x:c r="U324" s="8" t="n">
        <x:f>T324-H324</x:f>
        <x:v>7107.92</x:v>
      </x:c>
      <x:c r="V324" s="27" t="n">
        <x:v>0</x:v>
      </x:c>
    </x:row>
    <x:row r="325">
      <x:c r="A325" s="28" t="str">
        <x:v>735327</x:v>
      </x:c>
      <x:c r="B325" s="25" t="n">
        <x:v>1</x:v>
      </x:c>
      <x:c r="C325" s="25" t="n">
        <x:v>938</x:v>
      </x:c>
      <x:c r="D325" s="25" t="n">
        <x:f>IF(B325=0,0,C325/B325)</x:f>
        <x:v>938</x:v>
      </x:c>
      <x:c r="E325" s="26" t="n">
        <x:f>IF(D325=0,0,D325/MAX($D$6:$D$337))</x:f>
        <x:v>0.6710956663941128</x:v>
      </x:c>
      <x:c r="F325" s="26" t="n">
        <x:f>IF(B325=0,0,B325/MAX($B$6:$B$337))</x:f>
        <x:v>0.03571428571428571</x:v>
      </x:c>
      <x:c r="G325" s="26" t="n">
        <x:f>'Resumen'!$B$9*E325+'Resumen'!$B$10*F325</x:f>
        <x:v>0.48048125219016463</x:v>
      </x:c>
      <x:c r="H325" s="8" t="n">
        <x:v>6831.18</x:v>
      </x:c>
      <x:c r="I325" s="8" t="n">
        <x:v>5600.85</x:v>
      </x:c>
      <x:c r="J325" s="8" t="n">
        <x:f>MAX(H325-I325,0)</x:f>
        <x:v>1230.33</x:v>
      </x:c>
      <x:c r="K325" s="8" t="n">
        <x:f>J325*G325</x:f>
        <x:v>591.1504990071252</x:v>
      </x:c>
      <x:c r="L325" s="8" t="n">
        <x:f>IFERROR('Resumen'!$B$14*K325/SUM($K$6:$K$337),0)</x:f>
        <x:v>428.18717418348456</x:v>
      </x:c>
      <x:c r="M325" s="8" t="n">
        <x:f>I325+L325</x:f>
        <x:v>6029.037174183485</x:v>
      </x:c>
      <x:c r="N325" s="8" t="n">
        <x:v>0</x:v>
      </x:c>
      <x:c r="O325" s="8" t="n">
        <x:f>N325*'Resumen'!$B$8</x:f>
        <x:v>0</x:v>
      </x:c>
      <x:c r="P325" s="8" t="n">
        <x:f>M325+O325</x:f>
        <x:v>6029.037174183485</x:v>
      </x:c>
      <x:c r="Q325" s="8" t="n">
        <x:f>P325-H325</x:f>
        <x:v>-802.1428258165151</x:v>
      </x:c>
      <x:c r="R325" s="8" t="n">
        <x:v>0</x:v>
      </x:c>
      <x:c r="S325" s="8" t="n">
        <x:f>R325*'Resumen'!$B$8</x:f>
        <x:v>0</x:v>
      </x:c>
      <x:c r="T325" s="8" t="n">
        <x:f>M325+S325</x:f>
        <x:v>6029.037174183485</x:v>
      </x:c>
      <x:c r="U325" s="8" t="n">
        <x:f>T325-H325</x:f>
        <x:v>-802.1428258165151</x:v>
      </x:c>
      <x:c r="V325" s="27" t="n">
        <x:v>0</x:v>
      </x:c>
    </x:row>
    <x:row r="326">
      <x:c r="A326" s="28" t="str">
        <x:v>735328</x:v>
      </x:c>
      <x:c r="B326" s="25" t="n">
        <x:v>1</x:v>
      </x:c>
      <x:c r="C326" s="25" t="n">
        <x:v>881</x:v>
      </x:c>
      <x:c r="D326" s="25" t="n">
        <x:f>IF(B326=0,0,C326/B326)</x:f>
        <x:v>881</x:v>
      </x:c>
      <x:c r="E326" s="26" t="n">
        <x:f>IF(D326=0,0,D326/MAX($D$6:$D$337))</x:f>
        <x:v>0.6303147996729354</x:v>
      </x:c>
      <x:c r="F326" s="26" t="n">
        <x:f>IF(B326=0,0,B326/MAX($B$6:$B$337))</x:f>
        <x:v>0.03571428571428571</x:v>
      </x:c>
      <x:c r="G326" s="26" t="n">
        <x:f>'Resumen'!$B$9*E326+'Resumen'!$B$10*F326</x:f>
        <x:v>0.45193464548534046</x:v>
      </x:c>
      <x:c r="H326" s="8" t="n">
        <x:v>4811.52</x:v>
      </x:c>
      <x:c r="I326" s="8" t="n">
        <x:v>7708</x:v>
      </x:c>
      <x:c r="J326" s="8" t="n">
        <x:f>MAX(H326-I326,0)</x:f>
        <x:v>0</x:v>
      </x:c>
      <x:c r="K326" s="8" t="n">
        <x:f>J326*G326</x:f>
        <x:v>0</x:v>
      </x:c>
      <x:c r="L326" s="8" t="n">
        <x:f>IFERROR('Resumen'!$B$14*K326/SUM($K$6:$K$337),0)</x:f>
        <x:v>0</x:v>
      </x:c>
      <x:c r="M326" s="8" t="n">
        <x:f>I326+L326</x:f>
        <x:v>7708</x:v>
      </x:c>
      <x:c r="N326" s="8" t="n">
        <x:v>0</x:v>
      </x:c>
      <x:c r="O326" s="8" t="n">
        <x:f>N326*'Resumen'!$B$8</x:f>
        <x:v>0</x:v>
      </x:c>
      <x:c r="P326" s="8" t="n">
        <x:f>M326+O326</x:f>
        <x:v>7708</x:v>
      </x:c>
      <x:c r="Q326" s="8" t="n">
        <x:f>P326-H326</x:f>
        <x:v>2896.4799999999996</x:v>
      </x:c>
      <x:c r="R326" s="8" t="n">
        <x:v>0</x:v>
      </x:c>
      <x:c r="S326" s="8" t="n">
        <x:f>R326*'Resumen'!$B$8</x:f>
        <x:v>0</x:v>
      </x:c>
      <x:c r="T326" s="8" t="n">
        <x:f>M326+S326</x:f>
        <x:v>7708</x:v>
      </x:c>
      <x:c r="U326" s="8" t="n">
        <x:f>T326-H326</x:f>
        <x:v>2896.4799999999996</x:v>
      </x:c>
      <x:c r="V326" s="27" t="n">
        <x:v>0</x:v>
      </x:c>
    </x:row>
    <x:row r="327">
      <x:c r="A327" s="28" t="str">
        <x:v>735372</x:v>
      </x:c>
      <x:c r="B327" s="25" t="n">
        <x:v>1</x:v>
      </x:c>
      <x:c r="C327" s="25" t="n">
        <x:v>753</x:v>
      </x:c>
      <x:c r="D327" s="25" t="n">
        <x:f>IF(B327=0,0,C327/B327)</x:f>
        <x:v>753</x:v>
      </x:c>
      <x:c r="E327" s="26" t="n">
        <x:f>IF(D327=0,0,D327/MAX($D$6:$D$337))</x:f>
        <x:v>0.5387367130008176</x:v>
      </x:c>
      <x:c r="F327" s="26" t="n">
        <x:f>IF(B327=0,0,B327/MAX($B$6:$B$337))</x:f>
        <x:v>0.03571428571428571</x:v>
      </x:c>
      <x:c r="G327" s="26" t="n">
        <x:f>'Resumen'!$B$9*E327+'Resumen'!$B$10*F327</x:f>
        <x:v>0.38782998481485803</x:v>
      </x:c>
      <x:c r="H327" s="8" t="n">
        <x:v>0</x:v>
      </x:c>
      <x:c r="I327" s="8" t="n">
        <x:v>8563.06</x:v>
      </x:c>
      <x:c r="J327" s="8" t="n">
        <x:f>MAX(H327-I327,0)</x:f>
        <x:v>0</x:v>
      </x:c>
      <x:c r="K327" s="8" t="n">
        <x:f>J327*G327</x:f>
        <x:v>0</x:v>
      </x:c>
      <x:c r="L327" s="8" t="n">
        <x:f>IFERROR('Resumen'!$B$14*K327/SUM($K$6:$K$337),0)</x:f>
        <x:v>0</x:v>
      </x:c>
      <x:c r="M327" s="8" t="n">
        <x:f>I327+L327</x:f>
        <x:v>8563.06</x:v>
      </x:c>
      <x:c r="N327" s="8" t="n">
        <x:v>0</x:v>
      </x:c>
      <x:c r="O327" s="8" t="n">
        <x:f>N327*'Resumen'!$B$8</x:f>
        <x:v>0</x:v>
      </x:c>
      <x:c r="P327" s="8" t="n">
        <x:f>M327+O327</x:f>
        <x:v>8563.06</x:v>
      </x:c>
      <x:c r="Q327" s="8" t="n">
        <x:f>P327-H327</x:f>
        <x:v>8563.06</x:v>
      </x:c>
      <x:c r="R327" s="8" t="n">
        <x:v>0</x:v>
      </x:c>
      <x:c r="S327" s="8" t="n">
        <x:f>R327*'Resumen'!$B$8</x:f>
        <x:v>0</x:v>
      </x:c>
      <x:c r="T327" s="8" t="n">
        <x:f>M327+S327</x:f>
        <x:v>8563.06</x:v>
      </x:c>
      <x:c r="U327" s="8" t="n">
        <x:f>T327-H327</x:f>
        <x:v>8563.06</x:v>
      </x:c>
      <x:c r="V327" s="27" t="n">
        <x:v>0</x:v>
      </x:c>
    </x:row>
    <x:row r="328">
      <x:c r="A328" s="28" t="str">
        <x:v>735411</x:v>
      </x:c>
      <x:c r="B328" s="25" t="n">
        <x:v>1</x:v>
      </x:c>
      <x:c r="C328" s="25" t="n">
        <x:v>1015</x:v>
      </x:c>
      <x:c r="D328" s="25" t="n">
        <x:f>IF(B328=0,0,C328/B328)</x:f>
        <x:v>1015</x:v>
      </x:c>
      <x:c r="E328" s="26" t="n">
        <x:f>IF(D328=0,0,D328/MAX($D$6:$D$337))</x:f>
        <x:v>0.7261856091578086</x:v>
      </x:c>
      <x:c r="F328" s="26" t="n">
        <x:f>IF(B328=0,0,B328/MAX($B$6:$B$337))</x:f>
        <x:v>0.03571428571428571</x:v>
      </x:c>
      <x:c r="G328" s="26" t="n">
        <x:f>'Resumen'!$B$9*E328+'Resumen'!$B$10*F328</x:f>
        <x:v>0.5190442121247517</x:v>
      </x:c>
      <x:c r="H328" s="8" t="n">
        <x:v>6939.79</x:v>
      </x:c>
      <x:c r="I328" s="8" t="n">
        <x:v>7222.98</x:v>
      </x:c>
      <x:c r="J328" s="8" t="n">
        <x:f>MAX(H328-I328,0)</x:f>
        <x:v>0</x:v>
      </x:c>
      <x:c r="K328" s="8" t="n">
        <x:f>J328*G328</x:f>
        <x:v>0</x:v>
      </x:c>
      <x:c r="L328" s="8" t="n">
        <x:f>IFERROR('Resumen'!$B$14*K328/SUM($K$6:$K$337),0)</x:f>
        <x:v>0</x:v>
      </x:c>
      <x:c r="M328" s="8" t="n">
        <x:f>I328+L328</x:f>
        <x:v>7222.98</x:v>
      </x:c>
      <x:c r="N328" s="8" t="n">
        <x:v>0</x:v>
      </x:c>
      <x:c r="O328" s="8" t="n">
        <x:f>N328*'Resumen'!$B$8</x:f>
        <x:v>0</x:v>
      </x:c>
      <x:c r="P328" s="8" t="n">
        <x:f>M328+O328</x:f>
        <x:v>7222.98</x:v>
      </x:c>
      <x:c r="Q328" s="8" t="n">
        <x:f>P328-H328</x:f>
        <x:v>283.1899999999996</x:v>
      </x:c>
      <x:c r="R328" s="8" t="n">
        <x:v>0</x:v>
      </x:c>
      <x:c r="S328" s="8" t="n">
        <x:f>R328*'Resumen'!$B$8</x:f>
        <x:v>0</x:v>
      </x:c>
      <x:c r="T328" s="8" t="n">
        <x:f>M328+S328</x:f>
        <x:v>7222.98</x:v>
      </x:c>
      <x:c r="U328" s="8" t="n">
        <x:f>T328-H328</x:f>
        <x:v>283.1899999999996</x:v>
      </x:c>
      <x:c r="V328" s="27" t="n">
        <x:v>0</x:v>
      </x:c>
    </x:row>
    <x:row r="329">
      <x:c r="A329" s="28" t="str">
        <x:v>735413</x:v>
      </x:c>
      <x:c r="B329" s="25" t="n">
        <x:v>1</x:v>
      </x:c>
      <x:c r="C329" s="25" t="n">
        <x:v>1089</x:v>
      </x:c>
      <x:c r="D329" s="25" t="n">
        <x:f>IF(B329=0,0,C329/B329)</x:f>
        <x:v>1089</x:v>
      </x:c>
      <x:c r="E329" s="26" t="n">
        <x:f>IF(D329=0,0,D329/MAX($D$6:$D$337))</x:f>
        <x:v>0.7791291905151267</x:v>
      </x:c>
      <x:c r="F329" s="26" t="n">
        <x:f>IF(B329=0,0,B329/MAX($B$6:$B$337))</x:f>
        <x:v>0.03571428571428571</x:v>
      </x:c>
      <x:c r="G329" s="26" t="n">
        <x:f>'Resumen'!$B$9*E329+'Resumen'!$B$10*F329</x:f>
        <x:v>0.5561047190748744</x:v>
      </x:c>
      <x:c r="H329" s="8" t="n">
        <x:v>15297.14</x:v>
      </x:c>
      <x:c r="I329" s="8" t="n">
        <x:v>4564.87</x:v>
      </x:c>
      <x:c r="J329" s="8" t="n">
        <x:f>MAX(H329-I329,0)</x:f>
        <x:v>10732.27</x:v>
      </x:c>
      <x:c r="K329" s="8" t="n">
        <x:f>J329*G329</x:f>
        <x:v>5968.265993385702</x:v>
      </x:c>
      <x:c r="L329" s="8" t="n">
        <x:f>IFERROR('Resumen'!$B$14*K329/SUM($K$6:$K$337),0)</x:f>
        <x:v>4322.985356140939</x:v>
      </x:c>
      <x:c r="M329" s="8" t="n">
        <x:f>I329+L329</x:f>
        <x:v>8887.855356140939</x:v>
      </x:c>
      <x:c r="N329" s="8" t="n">
        <x:v>0</x:v>
      </x:c>
      <x:c r="O329" s="8" t="n">
        <x:f>N329*'Resumen'!$B$8</x:f>
        <x:v>0</x:v>
      </x:c>
      <x:c r="P329" s="8" t="n">
        <x:f>M329+O329</x:f>
        <x:v>8887.855356140939</x:v>
      </x:c>
      <x:c r="Q329" s="8" t="n">
        <x:f>P329-H329</x:f>
        <x:v>-6409.28464385906</x:v>
      </x:c>
      <x:c r="R329" s="8" t="n">
        <x:v>0</x:v>
      </x:c>
      <x:c r="S329" s="8" t="n">
        <x:f>R329*'Resumen'!$B$8</x:f>
        <x:v>0</x:v>
      </x:c>
      <x:c r="T329" s="8" t="n">
        <x:f>M329+S329</x:f>
        <x:v>8887.855356140939</x:v>
      </x:c>
      <x:c r="U329" s="8" t="n">
        <x:f>T329-H329</x:f>
        <x:v>-6409.28464385906</x:v>
      </x:c>
      <x:c r="V329" s="27" t="n">
        <x:v>0</x:v>
      </x:c>
    </x:row>
    <x:row r="330">
      <x:c r="A330" s="28" t="str">
        <x:v>735414</x:v>
      </x:c>
      <x:c r="B330" s="25" t="n">
        <x:v>1</x:v>
      </x:c>
      <x:c r="C330" s="25" t="n">
        <x:v>720</x:v>
      </x:c>
      <x:c r="D330" s="25" t="n">
        <x:f>IF(B330=0,0,C330/B330)</x:f>
        <x:v>720</x:v>
      </x:c>
      <x:c r="E330" s="26" t="n">
        <x:f>IF(D330=0,0,D330/MAX($D$6:$D$337))</x:f>
        <x:v>0.5151267375306623</x:v>
      </x:c>
      <x:c r="F330" s="26" t="n">
        <x:f>IF(B330=0,0,B330/MAX($B$6:$B$337))</x:f>
        <x:v>0.03571428571428571</x:v>
      </x:c>
      <x:c r="G330" s="26" t="n">
        <x:f>'Resumen'!$B$9*E330+'Resumen'!$B$10*F330</x:f>
        <x:v>0.37130300198574934</x:v>
      </x:c>
      <x:c r="H330" s="8" t="n">
        <x:v>0</x:v>
      </x:c>
      <x:c r="I330" s="8" t="n">
        <x:v>11414.39</x:v>
      </x:c>
      <x:c r="J330" s="8" t="n">
        <x:f>MAX(H330-I330,0)</x:f>
        <x:v>0</x:v>
      </x:c>
      <x:c r="K330" s="8" t="n">
        <x:f>J330*G330</x:f>
        <x:v>0</x:v>
      </x:c>
      <x:c r="L330" s="8" t="n">
        <x:f>IFERROR('Resumen'!$B$14*K330/SUM($K$6:$K$337),0)</x:f>
        <x:v>0</x:v>
      </x:c>
      <x:c r="M330" s="8" t="n">
        <x:f>I330+L330</x:f>
        <x:v>11414.39</x:v>
      </x:c>
      <x:c r="N330" s="8" t="n">
        <x:v>0</x:v>
      </x:c>
      <x:c r="O330" s="8" t="n">
        <x:f>N330*'Resumen'!$B$8</x:f>
        <x:v>0</x:v>
      </x:c>
      <x:c r="P330" s="8" t="n">
        <x:f>M330+O330</x:f>
        <x:v>11414.39</x:v>
      </x:c>
      <x:c r="Q330" s="8" t="n">
        <x:f>P330-H330</x:f>
        <x:v>11414.39</x:v>
      </x:c>
      <x:c r="R330" s="8" t="n">
        <x:v>0</x:v>
      </x:c>
      <x:c r="S330" s="8" t="n">
        <x:f>R330*'Resumen'!$B$8</x:f>
        <x:v>0</x:v>
      </x:c>
      <x:c r="T330" s="8" t="n">
        <x:f>M330+S330</x:f>
        <x:v>11414.39</x:v>
      </x:c>
      <x:c r="U330" s="8" t="n">
        <x:f>T330-H330</x:f>
        <x:v>11414.39</x:v>
      </x:c>
      <x:c r="V330" s="27" t="n">
        <x:v>0</x:v>
      </x:c>
    </x:row>
    <x:row r="331">
      <x:c r="A331" s="28" t="str">
        <x:v>735416</x:v>
      </x:c>
      <x:c r="B331" s="25" t="n">
        <x:v>1</x:v>
      </x:c>
      <x:c r="C331" s="25" t="n">
        <x:v>998</x:v>
      </x:c>
      <x:c r="D331" s="25" t="n">
        <x:f>IF(B331=0,0,C331/B331)</x:f>
        <x:v>998</x:v>
      </x:c>
      <x:c r="E331" s="26" t="n">
        <x:f>IF(D331=0,0,D331/MAX($D$6:$D$337))</x:f>
        <x:v>0.714022894521668</x:v>
      </x:c>
      <x:c r="F331" s="26" t="n">
        <x:f>IF(B331=0,0,B331/MAX($B$6:$B$337))</x:f>
        <x:v>0.03571428571428571</x:v>
      </x:c>
      <x:c r="G331" s="26" t="n">
        <x:f>'Resumen'!$B$9*E331+'Resumen'!$B$10*F331</x:f>
        <x:v>0.5105303118794533</x:v>
      </x:c>
      <x:c r="H331" s="8" t="n">
        <x:v>7614.92</x:v>
      </x:c>
      <x:c r="I331" s="8" t="n">
        <x:v>7661.85</x:v>
      </x:c>
      <x:c r="J331" s="8" t="n">
        <x:f>MAX(H331-I331,0)</x:f>
        <x:v>0</x:v>
      </x:c>
      <x:c r="K331" s="8" t="n">
        <x:f>J331*G331</x:f>
        <x:v>0</x:v>
      </x:c>
      <x:c r="L331" s="8" t="n">
        <x:f>IFERROR('Resumen'!$B$14*K331/SUM($K$6:$K$337),0)</x:f>
        <x:v>0</x:v>
      </x:c>
      <x:c r="M331" s="8" t="n">
        <x:f>I331+L331</x:f>
        <x:v>7661.85</x:v>
      </x:c>
      <x:c r="N331" s="8" t="n">
        <x:v>0</x:v>
      </x:c>
      <x:c r="O331" s="8" t="n">
        <x:f>N331*'Resumen'!$B$8</x:f>
        <x:v>0</x:v>
      </x:c>
      <x:c r="P331" s="8" t="n">
        <x:f>M331+O331</x:f>
        <x:v>7661.85</x:v>
      </x:c>
      <x:c r="Q331" s="8" t="n">
        <x:f>P331-H331</x:f>
        <x:v>46.93000000000029</x:v>
      </x:c>
      <x:c r="R331" s="8" t="n">
        <x:v>0</x:v>
      </x:c>
      <x:c r="S331" s="8" t="n">
        <x:f>R331*'Resumen'!$B$8</x:f>
        <x:v>0</x:v>
      </x:c>
      <x:c r="T331" s="8" t="n">
        <x:f>M331+S331</x:f>
        <x:v>7661.85</x:v>
      </x:c>
      <x:c r="U331" s="8" t="n">
        <x:f>T331-H331</x:f>
        <x:v>46.93000000000029</x:v>
      </x:c>
      <x:c r="V331" s="27" t="n">
        <x:v>0</x:v>
      </x:c>
    </x:row>
    <x:row r="332">
      <x:c r="A332" s="28" t="str">
        <x:v>735418</x:v>
      </x:c>
      <x:c r="B332" s="25" t="n">
        <x:v>1</x:v>
      </x:c>
      <x:c r="C332" s="25" t="n">
        <x:v>937</x:v>
      </x:c>
      <x:c r="D332" s="25" t="n">
        <x:f>IF(B332=0,0,C332/B332)</x:f>
        <x:v>937</x:v>
      </x:c>
      <x:c r="E332" s="26" t="n">
        <x:f>IF(D332=0,0,D332/MAX($D$6:$D$337))</x:f>
        <x:v>0.6703802125919869</x:v>
      </x:c>
      <x:c r="F332" s="26" t="n">
        <x:f>IF(B332=0,0,B332/MAX($B$6:$B$337))</x:f>
        <x:v>0.03571428571428571</x:v>
      </x:c>
      <x:c r="G332" s="26" t="n">
        <x:f>'Resumen'!$B$9*E332+'Resumen'!$B$10*F332</x:f>
        <x:v>0.4799804345286765</x:v>
      </x:c>
      <x:c r="H332" s="8" t="n">
        <x:v>6730.77</x:v>
      </x:c>
      <x:c r="I332" s="8" t="n">
        <x:v>3844.67</x:v>
      </x:c>
      <x:c r="J332" s="8" t="n">
        <x:f>MAX(H332-I332,0)</x:f>
        <x:v>2886.1000000000004</x:v>
      </x:c>
      <x:c r="K332" s="8" t="n">
        <x:f>J332*G332</x:f>
        <x:v>1385.2715320932134</x:v>
      </x:c>
      <x:c r="L332" s="8" t="n">
        <x:f>IFERROR('Resumen'!$B$14*K332/SUM($K$6:$K$337),0)</x:f>
        <x:v>1003.3916977149839</x:v>
      </x:c>
      <x:c r="M332" s="8" t="n">
        <x:f>I332+L332</x:f>
        <x:v>4848.061697714984</x:v>
      </x:c>
      <x:c r="N332" s="8" t="n">
        <x:v>0</x:v>
      </x:c>
      <x:c r="O332" s="8" t="n">
        <x:f>N332*'Resumen'!$B$8</x:f>
        <x:v>0</x:v>
      </x:c>
      <x:c r="P332" s="8" t="n">
        <x:f>M332+O332</x:f>
        <x:v>4848.061697714984</x:v>
      </x:c>
      <x:c r="Q332" s="8" t="n">
        <x:f>P332-H332</x:f>
        <x:v>-1882.7083022850165</x:v>
      </x:c>
      <x:c r="R332" s="8" t="n">
        <x:v>0</x:v>
      </x:c>
      <x:c r="S332" s="8" t="n">
        <x:f>R332*'Resumen'!$B$8</x:f>
        <x:v>0</x:v>
      </x:c>
      <x:c r="T332" s="8" t="n">
        <x:f>M332+S332</x:f>
        <x:v>4848.061697714984</x:v>
      </x:c>
      <x:c r="U332" s="8" t="n">
        <x:f>T332-H332</x:f>
        <x:v>-1882.7083022850165</x:v>
      </x:c>
      <x:c r="V332" s="27" t="n">
        <x:v>0</x:v>
      </x:c>
    </x:row>
    <x:row r="333">
      <x:c r="A333" s="28" t="str">
        <x:v>735435</x:v>
      </x:c>
      <x:c r="B333" s="25" t="n">
        <x:v>1</x:v>
      </x:c>
      <x:c r="C333" s="25" t="n">
        <x:v>49</x:v>
      </x:c>
      <x:c r="D333" s="25" t="n">
        <x:f>IF(B333=0,0,C333/B333)</x:f>
        <x:v>49</x:v>
      </x:c>
      <x:c r="E333" s="26" t="n">
        <x:f>IF(D333=0,0,D333/MAX($D$6:$D$337))</x:f>
        <x:v>0.03505723630417007</x:v>
      </x:c>
      <x:c r="F333" s="26" t="n">
        <x:f>IF(B333=0,0,B333/MAX($B$6:$B$337))</x:f>
        <x:v>0.03571428571428571</x:v>
      </x:c>
      <x:c r="G333" s="26" t="n">
        <x:f>'Resumen'!$B$9*E333+'Resumen'!$B$10*F333</x:f>
        <x:v>0.03525435112720476</x:v>
      </x:c>
      <x:c r="H333" s="8" t="n">
        <x:v>0</x:v>
      </x:c>
      <x:c r="I333" s="8" t="n">
        <x:v>0</x:v>
      </x:c>
      <x:c r="J333" s="8" t="n">
        <x:f>MAX(H333-I333,0)</x:f>
        <x:v>0</x:v>
      </x:c>
      <x:c r="K333" s="8" t="n">
        <x:f>J333*G333</x:f>
        <x:v>0</x:v>
      </x:c>
      <x:c r="L333" s="8" t="n">
        <x:f>IFERROR('Resumen'!$B$14*K333/SUM($K$6:$K$337),0)</x:f>
        <x:v>0</x:v>
      </x:c>
      <x:c r="M333" s="8" t="n">
        <x:f>I333+L333</x:f>
        <x:v>0</x:v>
      </x:c>
      <x:c r="N333" s="8" t="n">
        <x:v>0</x:v>
      </x:c>
      <x:c r="O333" s="8" t="n">
        <x:f>N333*'Resumen'!$B$8</x:f>
        <x:v>0</x:v>
      </x:c>
      <x:c r="P333" s="8" t="n">
        <x:f>M333+O333</x:f>
        <x:v>0</x:v>
      </x:c>
      <x:c r="Q333" s="8" t="n">
        <x:f>P333-H333</x:f>
        <x:v>0</x:v>
      </x:c>
      <x:c r="R333" s="8" t="n">
        <x:v>0</x:v>
      </x:c>
      <x:c r="S333" s="8" t="n">
        <x:f>R333*'Resumen'!$B$8</x:f>
        <x:v>0</x:v>
      </x:c>
      <x:c r="T333" s="8" t="n">
        <x:f>M333+S333</x:f>
        <x:v>0</x:v>
      </x:c>
      <x:c r="U333" s="8" t="n">
        <x:f>T333-H333</x:f>
        <x:v>0</x:v>
      </x:c>
      <x:c r="V333" s="27" t="n">
        <x:v>0</x:v>
      </x:c>
    </x:row>
    <x:row r="334">
      <x:c r="A334" s="28" t="str">
        <x:v>735669</x:v>
      </x:c>
      <x:c r="B334" s="25" t="n">
        <x:v>1</x:v>
      </x:c>
      <x:c r="C334" s="25" t="n">
        <x:v>657</x:v>
      </x:c>
      <x:c r="D334" s="25" t="n">
        <x:f>IF(B334=0,0,C334/B334)</x:f>
        <x:v>657</x:v>
      </x:c>
      <x:c r="E334" s="26" t="n">
        <x:f>IF(D334=0,0,D334/MAX($D$6:$D$337))</x:f>
        <x:v>0.4700531479967293</x:v>
      </x:c>
      <x:c r="F334" s="26" t="n">
        <x:f>IF(B334=0,0,B334/MAX($B$6:$B$337))</x:f>
        <x:v>0.03571428571428571</x:v>
      </x:c>
      <x:c r="G334" s="26" t="n">
        <x:f>'Resumen'!$B$9*E334+'Resumen'!$B$10*F334</x:f>
        <x:v>0.3397514893119962</x:v>
      </x:c>
      <x:c r="H334" s="8" t="n">
        <x:v>0</x:v>
      </x:c>
      <x:c r="I334" s="8" t="n">
        <x:v>4917.19</x:v>
      </x:c>
      <x:c r="J334" s="8" t="n">
        <x:f>MAX(H334-I334,0)</x:f>
        <x:v>0</x:v>
      </x:c>
      <x:c r="K334" s="8" t="n">
        <x:f>J334*G334</x:f>
        <x:v>0</x:v>
      </x:c>
      <x:c r="L334" s="8" t="n">
        <x:f>IFERROR('Resumen'!$B$14*K334/SUM($K$6:$K$337),0)</x:f>
        <x:v>0</x:v>
      </x:c>
      <x:c r="M334" s="8" t="n">
        <x:f>I334+L334</x:f>
        <x:v>4917.19</x:v>
      </x:c>
      <x:c r="N334" s="8" t="n">
        <x:v>0</x:v>
      </x:c>
      <x:c r="O334" s="8" t="n">
        <x:f>N334*'Resumen'!$B$8</x:f>
        <x:v>0</x:v>
      </x:c>
      <x:c r="P334" s="8" t="n">
        <x:f>M334+O334</x:f>
        <x:v>4917.19</x:v>
      </x:c>
      <x:c r="Q334" s="8" t="n">
        <x:f>P334-H334</x:f>
        <x:v>4917.19</x:v>
      </x:c>
      <x:c r="R334" s="8" t="n">
        <x:v>0</x:v>
      </x:c>
      <x:c r="S334" s="8" t="n">
        <x:f>R334*'Resumen'!$B$8</x:f>
        <x:v>0</x:v>
      </x:c>
      <x:c r="T334" s="8" t="n">
        <x:f>M334+S334</x:f>
        <x:v>4917.19</x:v>
      </x:c>
      <x:c r="U334" s="8" t="n">
        <x:f>T334-H334</x:f>
        <x:v>4917.19</x:v>
      </x:c>
      <x:c r="V334" s="27" t="n">
        <x:v>0</x:v>
      </x:c>
    </x:row>
    <x:row r="335">
      <x:c r="A335" s="28" t="str">
        <x:v>735672</x:v>
      </x:c>
      <x:c r="B335" s="25" t="n">
        <x:v>1</x:v>
      </x:c>
      <x:c r="C335" s="25" t="n">
        <x:v>416</x:v>
      </x:c>
      <x:c r="D335" s="25" t="n">
        <x:f>IF(B335=0,0,C335/B335)</x:f>
        <x:v>416</x:v>
      </x:c>
      <x:c r="E335" s="26" t="n">
        <x:f>IF(D335=0,0,D335/MAX($D$6:$D$337))</x:f>
        <x:v>0.29762878168438267</x:v>
      </x:c>
      <x:c r="F335" s="26" t="n">
        <x:f>IF(B335=0,0,B335/MAX($B$6:$B$337))</x:f>
        <x:v>0.03571428571428571</x:v>
      </x:c>
      <x:c r="G335" s="26" t="n">
        <x:f>'Resumen'!$B$9*E335+'Resumen'!$B$10*F335</x:f>
        <x:v>0.21905443289335355</x:v>
      </x:c>
      <x:c r="H335" s="8" t="n">
        <x:v>0</x:v>
      </x:c>
      <x:c r="I335" s="8" t="n">
        <x:v>873.48</x:v>
      </x:c>
      <x:c r="J335" s="8" t="n">
        <x:f>MAX(H335-I335,0)</x:f>
        <x:v>0</x:v>
      </x:c>
      <x:c r="K335" s="8" t="n">
        <x:f>J335*G335</x:f>
        <x:v>0</x:v>
      </x:c>
      <x:c r="L335" s="8" t="n">
        <x:f>IFERROR('Resumen'!$B$14*K335/SUM($K$6:$K$337),0)</x:f>
        <x:v>0</x:v>
      </x:c>
      <x:c r="M335" s="8" t="n">
        <x:f>I335+L335</x:f>
        <x:v>873.48</x:v>
      </x:c>
      <x:c r="N335" s="8" t="n">
        <x:v>0</x:v>
      </x:c>
      <x:c r="O335" s="8" t="n">
        <x:f>N335*'Resumen'!$B$8</x:f>
        <x:v>0</x:v>
      </x:c>
      <x:c r="P335" s="8" t="n">
        <x:f>M335+O335</x:f>
        <x:v>873.48</x:v>
      </x:c>
      <x:c r="Q335" s="8" t="n">
        <x:f>P335-H335</x:f>
        <x:v>873.48</x:v>
      </x:c>
      <x:c r="R335" s="8" t="n">
        <x:v>0</x:v>
      </x:c>
      <x:c r="S335" s="8" t="n">
        <x:f>R335*'Resumen'!$B$8</x:f>
        <x:v>0</x:v>
      </x:c>
      <x:c r="T335" s="8" t="n">
        <x:f>M335+S335</x:f>
        <x:v>873.48</x:v>
      </x:c>
      <x:c r="U335" s="8" t="n">
        <x:f>T335-H335</x:f>
        <x:v>873.48</x:v>
      </x:c>
      <x:c r="V335" s="27" t="n">
        <x:v>0</x:v>
      </x:c>
    </x:row>
    <x:row r="336">
      <x:c r="A336" s="28" t="str">
        <x:v>735689</x:v>
      </x:c>
      <x:c r="B336" s="25" t="n">
        <x:v>1</x:v>
      </x:c>
      <x:c r="C336" s="25" t="n">
        <x:v>225</x:v>
      </x:c>
      <x:c r="D336" s="25" t="n">
        <x:f>IF(B336=0,0,C336/B336)</x:f>
        <x:v>225</x:v>
      </x:c>
      <x:c r="E336" s="26" t="n">
        <x:f>IF(D336=0,0,D336/MAX($D$6:$D$337))</x:f>
        <x:v>0.16097710547833197</x:v>
      </x:c>
      <x:c r="F336" s="26" t="n">
        <x:f>IF(B336=0,0,B336/MAX($B$6:$B$337))</x:f>
        <x:v>0.03571428571428571</x:v>
      </x:c>
      <x:c r="G336" s="26" t="n">
        <x:f>'Resumen'!$B$9*E336+'Resumen'!$B$10*F336</x:f>
        <x:v>0.12339825954911808</x:v>
      </x:c>
      <x:c r="H336" s="8" t="n">
        <x:v>0</x:v>
      </x:c>
      <x:c r="I336" s="8" t="n">
        <x:v>220.35</x:v>
      </x:c>
      <x:c r="J336" s="8" t="n">
        <x:f>MAX(H336-I336,0)</x:f>
        <x:v>0</x:v>
      </x:c>
      <x:c r="K336" s="8" t="n">
        <x:f>J336*G336</x:f>
        <x:v>0</x:v>
      </x:c>
      <x:c r="L336" s="8" t="n">
        <x:f>IFERROR('Resumen'!$B$14*K336/SUM($K$6:$K$337),0)</x:f>
        <x:v>0</x:v>
      </x:c>
      <x:c r="M336" s="8" t="n">
        <x:f>I336+L336</x:f>
        <x:v>220.35</x:v>
      </x:c>
      <x:c r="N336" s="8" t="n">
        <x:v>0</x:v>
      </x:c>
      <x:c r="O336" s="8" t="n">
        <x:f>N336*'Resumen'!$B$8</x:f>
        <x:v>0</x:v>
      </x:c>
      <x:c r="P336" s="8" t="n">
        <x:f>M336+O336</x:f>
        <x:v>220.35</x:v>
      </x:c>
      <x:c r="Q336" s="8" t="n">
        <x:f>P336-H336</x:f>
        <x:v>220.35</x:v>
      </x:c>
      <x:c r="R336" s="8" t="n">
        <x:v>0</x:v>
      </x:c>
      <x:c r="S336" s="8" t="n">
        <x:f>R336*'Resumen'!$B$8</x:f>
        <x:v>0</x:v>
      </x:c>
      <x:c r="T336" s="8" t="n">
        <x:f>M336+S336</x:f>
        <x:v>220.35</x:v>
      </x:c>
      <x:c r="U336" s="8" t="n">
        <x:f>T336-H336</x:f>
        <x:v>220.35</x:v>
      </x:c>
      <x:c r="V336" s="27" t="n">
        <x:v>0</x:v>
      </x:c>
    </x:row>
    <x:row r="337">
      <x:c r="A337" s="28" t="str">
        <x:v>735705</x:v>
      </x:c>
      <x:c r="B337" s="25" t="n">
        <x:v>1</x:v>
      </x:c>
      <x:c r="C337" s="25" t="n">
        <x:v>475</x:v>
      </x:c>
      <x:c r="D337" s="25" t="n">
        <x:f>IF(B337=0,0,C337/B337)</x:f>
        <x:v>475</x:v>
      </x:c>
      <x:c r="E337" s="26" t="n">
        <x:f>IF(D337=0,0,D337/MAX($D$6:$D$337))</x:f>
        <x:v>0.33984055600981194</x:v>
      </x:c>
      <x:c r="F337" s="26" t="n">
        <x:f>IF(B337=0,0,B337/MAX($B$6:$B$337))</x:f>
        <x:v>0.03571428571428571</x:v>
      </x:c>
      <x:c r="G337" s="26" t="n">
        <x:f>'Resumen'!$B$9*E337+'Resumen'!$B$10*F337</x:f>
        <x:v>0.24860267492115404</x:v>
      </x:c>
      <x:c r="H337" s="8" t="n">
        <x:v>0</x:v>
      </x:c>
      <x:c r="I337" s="8" t="n">
        <x:v>3611.94</x:v>
      </x:c>
      <x:c r="J337" s="8" t="n">
        <x:f>MAX(H337-I337,0)</x:f>
        <x:v>0</x:v>
      </x:c>
      <x:c r="K337" s="8" t="n">
        <x:f>J337*G337</x:f>
        <x:v>0</x:v>
      </x:c>
      <x:c r="L337" s="8" t="n">
        <x:f>IFERROR('Resumen'!$B$14*K337/SUM($K$6:$K$337),0)</x:f>
        <x:v>0</x:v>
      </x:c>
      <x:c r="M337" s="8" t="n">
        <x:f>I337+L337</x:f>
        <x:v>3611.94</x:v>
      </x:c>
      <x:c r="N337" s="8" t="n">
        <x:v>0</x:v>
      </x:c>
      <x:c r="O337" s="8" t="n">
        <x:f>N337*'Resumen'!$B$8</x:f>
        <x:v>0</x:v>
      </x:c>
      <x:c r="P337" s="8" t="n">
        <x:f>M337+O337</x:f>
        <x:v>3611.94</x:v>
      </x:c>
      <x:c r="Q337" s="8" t="n">
        <x:f>P337-H337</x:f>
        <x:v>3611.94</x:v>
      </x:c>
      <x:c r="R337" s="8" t="n">
        <x:v>0</x:v>
      </x:c>
      <x:c r="S337" s="8" t="n">
        <x:f>R337*'Resumen'!$B$8</x:f>
        <x:v>0</x:v>
      </x:c>
      <x:c r="T337" s="8" t="n">
        <x:f>M337+S337</x:f>
        <x:v>3611.94</x:v>
      </x:c>
      <x:c r="U337" s="8" t="n">
        <x:f>T337-H337</x:f>
        <x:v>3611.94</x:v>
      </x:c>
      <x:c r="V337" s="27" t="n">
        <x:v>0</x:v>
      </x:c>
    </x:row>
  </x:sheetData>
  <x:mergeCells>
    <x:mergeCell ref="A1:V1"/>
    <x:mergeCell ref="A3:V3"/>
  </x:mergeCells>
  <x:conditionalFormatting sqref="Q6:Q337">
    <x:cfRule type="cellIs" dxfId="0" priority="1" operator="lessThan">
      <x:formula>0</x:formula>
    </x:cfRule>
  </x:conditionalFormatting>
  <x:conditionalFormatting sqref="U6:U337">
    <x:cfRule type="cellIs" dxfId="1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38af4aaef22484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20" t="str">
        <x:v>Metodología y criterios de propuesta</x:v>
      </x:c>
      <x:c r="B1" s="20"/>
      <x:c r="C1" s="20"/>
      <x:c r="D1" s="20"/>
      <x:c r="E1" s="20"/>
      <x:c r="F1" s="20"/>
    </x:row>
    <x:row r="3">
      <x:c r="A3" s="9" t="str">
        <x:v>Elemento</x:v>
      </x:c>
      <x:c r="B3" s="9" t="str">
        <x:v>Criterio</x:v>
      </x:c>
    </x:row>
    <x:row r="4">
      <x:c r="A4" s="10" t="str">
        <x:v>Base de datos</x:v>
      </x:c>
      <x:c r="B4" s="11" t="str">
        <x:v>Snapshot Punto 0 corregido, julio 2026.</x:v>
      </x:c>
    </x:row>
    <x:row r="5">
      <x:c r="A5" s="10" t="str">
        <x:v>Incentivo individual</x:v>
      </x:c>
      <x:c r="B5" s="11" t="str">
        <x:v>70% de la brecha global actual - individual.</x:v>
      </x:c>
    </x:row>
    <x:row r="6">
      <x:c r="A6" s="10" t="str">
        <x:v>Adicional grupal</x:v>
      </x:c>
      <x:c r="B6" s="11" t="str">
        <x:v>30% de la brecha global, separado del individual.</x:v>
      </x:c>
    </x:row>
    <x:row r="7">
      <x:c r="A7" s="10" t="str">
        <x:v>Esfuerzo / intensidad</x:v>
      </x:c>
      <x:c r="B7" s="11" t="str">
        <x:v>Bultos reales promedio por día, normalizados contra el máximo observado.</x:v>
      </x:c>
    </x:row>
    <x:row r="8">
      <x:c r="A8" s="10" t="str">
        <x:v>Constancia</x:v>
      </x:c>
      <x:c r="B8" s="11" t="str">
        <x:v>Días con actividad / máximo de días con actividad observado.</x:v>
      </x:c>
    </x:row>
    <x:row r="9">
      <x:c r="A9" s="10" t="str">
        <x:v>Score</x:v>
      </x:c>
      <x:c r="B9" s="11" t="str">
        <x:v>70% intensidad + 30% constancia.</x:v>
      </x:c>
    </x:row>
    <x:row r="10">
      <x:c r="A10" s="10" t="str">
        <x:v>Asignación</x:v>
      </x:c>
      <x:c r="B10" s="11" t="str">
        <x:v>Pool individual × (brecha positiva × score) / suma de necesidades ponderadas.</x:v>
      </x:c>
    </x:row>
    <x:row r="12">
      <x:c r="A12" s="18" t="str">
        <x:v>El individual propuesto se acerca al pago actual según la brecha de cada persona, pero la asignación favorece a quienes tienen mayor intensidad y constancia.</x:v>
      </x:c>
      <x:c r="B12" s="18"/>
      <x:c r="C12" s="18"/>
      <x:c r="D12" s="18"/>
      <x:c r="E12" s="18"/>
      <x:c r="F12" s="18"/>
    </x:row>
    <x:row r="13">
      <x:c r="A13" s="18" t="str">
        <x:v>El grupal continúa siendo un adicional: bultos y horas son dos alternativas y cada una usa el 30% de la bolsa.</x:v>
      </x:c>
      <x:c r="B13" s="18"/>
      <x:c r="C13" s="18"/>
      <x:c r="D13" s="18"/>
      <x:c r="E13" s="18"/>
      <x:c r="F13" s="18"/>
    </x:row>
    <x:row r="14">
      <x:c r="A14" s="18" t="str">
        <x:v>No se usa el pago actual como fórmula de productividad; se usa para medir la brecha que se busca reducir.</x:v>
      </x:c>
      <x:c r="B14" s="18"/>
      <x:c r="C14" s="18"/>
      <x:c r="D14" s="18"/>
      <x:c r="E14" s="18"/>
      <x:c r="F14" s="18"/>
    </x:row>
    <x:row r="15">
      <x:c r="A15" s="18" t="str">
        <x:v>Antes de producción conviene validar días programados y ausencias, porque la constancia aquí usa días con actividad.</x:v>
      </x:c>
      <x:c r="B15" s="18"/>
      <x:c r="C15" s="18"/>
      <x:c r="D15" s="18"/>
      <x:c r="E15" s="18"/>
      <x:c r="F15" s="18"/>
    </x:row>
    <x:row r="16">
      <x:c r="A16" s="18" t="str">
        <x:v>Los importes son un escenario de evaluación sobre el Punto 0 corregido, no una liquidación definitiva.</x:v>
      </x:c>
      <x:c r="B16" s="18"/>
      <x:c r="C16" s="18"/>
      <x:c r="D16" s="18"/>
      <x:c r="E16" s="18"/>
      <x:c r="F16" s="18"/>
    </x:row>
  </x:sheetData>
  <x:mergeCells>
    <x:mergeCell ref="A1:F1"/>
    <x:mergeCell ref="A12:F12"/>
    <x:mergeCell ref="A13:F13"/>
    <x:mergeCell ref="A14:F14"/>
    <x:mergeCell ref="A15:F15"/>
    <x:mergeCell ref="A16:F16"/>
  </x:mergeCells>
  <x:pageMargins left="0.7" right="0.7" top="0.75" bottom="0.75" header="0.3" footer="0.3"/>
</x:worksheet>
</file>