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genieria\"/>
    </mc:Choice>
  </mc:AlternateContent>
  <xr:revisionPtr revIDLastSave="0" documentId="8_{E0ACE92D-8210-4712-99ED-DED1A7A5D79D}" xr6:coauthVersionLast="47" xr6:coauthVersionMax="47" xr10:uidLastSave="{00000000-0000-0000-0000-000000000000}"/>
  <bookViews>
    <workbookView xWindow="-108" yWindow="-108" windowWidth="23256" windowHeight="13896" xr2:uid="{044C5F57-E9D7-4E5E-BAD3-873D8C494882}"/>
  </bookViews>
  <sheets>
    <sheet name="54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  <c r="C28" i="1"/>
  <c r="G22" i="1"/>
  <c r="R21" i="1"/>
  <c r="R22" i="1" s="1"/>
  <c r="Q21" i="1"/>
  <c r="P21" i="1"/>
  <c r="P22" i="1" s="1"/>
  <c r="M21" i="1"/>
  <c r="L21" i="1"/>
  <c r="G21" i="1"/>
  <c r="F21" i="1"/>
  <c r="F22" i="1" s="1"/>
  <c r="L22" i="1" s="1"/>
  <c r="D21" i="1"/>
  <c r="D22" i="1" s="1"/>
  <c r="C21" i="1"/>
  <c r="C22" i="1" s="1"/>
  <c r="L20" i="1"/>
  <c r="H20" i="1"/>
  <c r="J20" i="1" s="1"/>
  <c r="E20" i="1"/>
  <c r="N20" i="1" s="1"/>
  <c r="O19" i="1"/>
  <c r="N19" i="1"/>
  <c r="L19" i="1"/>
  <c r="J19" i="1"/>
  <c r="H19" i="1"/>
  <c r="I19" i="1" s="1"/>
  <c r="E19" i="1"/>
  <c r="L18" i="1"/>
  <c r="H18" i="1"/>
  <c r="H21" i="1" s="1"/>
  <c r="E18" i="1"/>
  <c r="N18" i="1" s="1"/>
  <c r="O17" i="1"/>
  <c r="N17" i="1"/>
  <c r="L17" i="1"/>
  <c r="J17" i="1"/>
  <c r="H17" i="1"/>
  <c r="I17" i="1" s="1"/>
  <c r="E17" i="1"/>
  <c r="R16" i="1"/>
  <c r="Q16" i="1"/>
  <c r="P16" i="1"/>
  <c r="L16" i="1"/>
  <c r="G16" i="1"/>
  <c r="F16" i="1"/>
  <c r="D16" i="1"/>
  <c r="C16" i="1"/>
  <c r="E16" i="1" s="1"/>
  <c r="K16" i="1" s="1"/>
  <c r="N15" i="1"/>
  <c r="L15" i="1"/>
  <c r="H15" i="1"/>
  <c r="O15" i="1" s="1"/>
  <c r="E15" i="1"/>
  <c r="L14" i="1"/>
  <c r="H14" i="1"/>
  <c r="O14" i="1" s="1"/>
  <c r="E14" i="1"/>
  <c r="N14" i="1" s="1"/>
  <c r="N16" i="1" s="1"/>
  <c r="N13" i="1"/>
  <c r="L13" i="1"/>
  <c r="H13" i="1"/>
  <c r="I13" i="1" s="1"/>
  <c r="E13" i="1"/>
  <c r="L12" i="1"/>
  <c r="H12" i="1"/>
  <c r="O12" i="1" s="1"/>
  <c r="E12" i="1"/>
  <c r="N12" i="1" s="1"/>
  <c r="R11" i="1"/>
  <c r="Q11" i="1"/>
  <c r="Q22" i="1" s="1"/>
  <c r="P11" i="1"/>
  <c r="G11" i="1"/>
  <c r="F11" i="1"/>
  <c r="L11" i="1" s="1"/>
  <c r="D11" i="1"/>
  <c r="C11" i="1"/>
  <c r="E11" i="1" s="1"/>
  <c r="K11" i="1" s="1"/>
  <c r="O10" i="1"/>
  <c r="N10" i="1"/>
  <c r="L10" i="1"/>
  <c r="J10" i="1"/>
  <c r="H10" i="1"/>
  <c r="E10" i="1"/>
  <c r="I10" i="1" s="1"/>
  <c r="L9" i="1"/>
  <c r="H9" i="1"/>
  <c r="O9" i="1" s="1"/>
  <c r="O11" i="1" s="1"/>
  <c r="E9" i="1"/>
  <c r="N9" i="1" s="1"/>
  <c r="N11" i="1" s="1"/>
  <c r="O8" i="1"/>
  <c r="N8" i="1"/>
  <c r="L8" i="1"/>
  <c r="J8" i="1"/>
  <c r="H8" i="1"/>
  <c r="H11" i="1" s="1"/>
  <c r="E8" i="1"/>
  <c r="I8" i="1" s="1"/>
  <c r="L7" i="1"/>
  <c r="H7" i="1"/>
  <c r="O7" i="1" s="1"/>
  <c r="E7" i="1"/>
  <c r="N7" i="1" s="1"/>
  <c r="J11" i="1" l="1"/>
  <c r="M11" i="1"/>
  <c r="I11" i="1"/>
  <c r="N21" i="1"/>
  <c r="N22" i="1" s="1"/>
  <c r="I9" i="1"/>
  <c r="J7" i="1"/>
  <c r="I12" i="1"/>
  <c r="I14" i="1"/>
  <c r="I15" i="1"/>
  <c r="J15" i="1"/>
  <c r="J18" i="1"/>
  <c r="O13" i="1"/>
  <c r="O16" i="1" s="1"/>
  <c r="I7" i="1"/>
  <c r="J9" i="1"/>
  <c r="O18" i="1"/>
  <c r="O20" i="1"/>
  <c r="J12" i="1"/>
  <c r="J14" i="1"/>
  <c r="E21" i="1"/>
  <c r="I18" i="1"/>
  <c r="H16" i="1"/>
  <c r="J13" i="1"/>
  <c r="I20" i="1"/>
  <c r="J16" i="1" l="1"/>
  <c r="I16" i="1"/>
  <c r="M16" i="1"/>
  <c r="M22" i="1" s="1"/>
  <c r="E22" i="1"/>
  <c r="E3" i="1" s="1"/>
  <c r="K21" i="1"/>
  <c r="K22" i="1" s="1"/>
  <c r="H22" i="1"/>
  <c r="I21" i="1"/>
  <c r="O21" i="1"/>
  <c r="J21" i="1"/>
  <c r="O22" i="1"/>
  <c r="J22" i="1" l="1"/>
  <c r="I22" i="1"/>
</calcChain>
</file>

<file path=xl/sharedStrings.xml><?xml version="1.0" encoding="utf-8"?>
<sst xmlns="http://schemas.openxmlformats.org/spreadsheetml/2006/main" count="58" uniqueCount="48">
  <si>
    <t>Programa N°</t>
  </si>
  <si>
    <t>Programación Secos-NOA</t>
  </si>
  <si>
    <t>PTE POST PROG. LM+TMS</t>
  </si>
  <si>
    <t>Bultos</t>
  </si>
  <si>
    <t>Pallets</t>
  </si>
  <si>
    <t>Viajes</t>
  </si>
  <si>
    <t>Programación/Ejecucion de Olas de Picking</t>
  </si>
  <si>
    <t>Programación en Bultos</t>
  </si>
  <si>
    <t>Ejecucion en Bultos</t>
  </si>
  <si>
    <t>Ejecucion vs Programa</t>
  </si>
  <si>
    <t>Dotacion</t>
  </si>
  <si>
    <t>Productividad</t>
  </si>
  <si>
    <t>Bultos SPC</t>
  </si>
  <si>
    <t>Trafico</t>
  </si>
  <si>
    <t>Observaciones</t>
  </si>
  <si>
    <t>Secos</t>
  </si>
  <si>
    <t>NOA</t>
  </si>
  <si>
    <t>Total</t>
  </si>
  <si>
    <t>Qty Secos-NOA</t>
  </si>
  <si>
    <t>% Secos-NOA</t>
  </si>
  <si>
    <t>Qty Operarios Programados</t>
  </si>
  <si>
    <t>Dif. Dotacion</t>
  </si>
  <si>
    <t>Qty Operarios Ejecucion</t>
  </si>
  <si>
    <t>Bultos prom x Operario Programados</t>
  </si>
  <si>
    <t>Bultos prom x Operario Ejecucion</t>
  </si>
  <si>
    <t>Qty Viajes Programados</t>
  </si>
  <si>
    <t>Qty Viajes Ejecutados</t>
  </si>
  <si>
    <t>14:00 a 16:00 OLA 1</t>
  </si>
  <si>
    <t>16:00 a 18:00 OLA 2</t>
  </si>
  <si>
    <t>18:00 a 20:00 OLA 3</t>
  </si>
  <si>
    <t>20:00 a 22:00 OLA 4</t>
  </si>
  <si>
    <t>Turno Tarde</t>
  </si>
  <si>
    <t>22:00 a 00:00 OLA 5</t>
  </si>
  <si>
    <t>Pasa 1 armador de refrigerados a secos</t>
  </si>
  <si>
    <t>00:00 a 02:00 OLA 6</t>
  </si>
  <si>
    <t>02:00 a 04:00 OLA 7</t>
  </si>
  <si>
    <t>Se refuerza noa con 4 operarios de secos</t>
  </si>
  <si>
    <t>04:00 a 06:00 OLA 8</t>
  </si>
  <si>
    <t>los 4 operarios retornan a secos</t>
  </si>
  <si>
    <t>Turno Noche</t>
  </si>
  <si>
    <t>06:00 a 08:00 OLA 9</t>
  </si>
  <si>
    <t>Pasan armadores de Noa, Refri a Secos y 1 maquinista de Refri</t>
  </si>
  <si>
    <t>08:00 a 10:00 OLA 10</t>
  </si>
  <si>
    <t>10:00 a 12:00 OLA 11</t>
  </si>
  <si>
    <t>12:00 a 14:00 OLA 12</t>
  </si>
  <si>
    <t>Turno Mañana</t>
  </si>
  <si>
    <t>Dia Logistico</t>
  </si>
  <si>
    <t>Ausentismo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</si>
</sst>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3" fontId="3" fillId="0" borderId="0" xfId="0" applyNumberFormat="1" applyFont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4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3" fontId="2" fillId="2" borderId="16" xfId="0" applyNumberFormat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3" borderId="18" xfId="0" applyNumberFormat="1" applyFont="1" applyFill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 wrapText="1"/>
    </xf>
    <xf numFmtId="3" fontId="5" fillId="0" borderId="22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3" fontId="5" fillId="3" borderId="21" xfId="0" applyNumberFormat="1" applyFont="1" applyFill="1" applyBorder="1" applyAlignment="1">
      <alignment horizontal="center" vertical="center"/>
    </xf>
    <xf numFmtId="3" fontId="5" fillId="0" borderId="23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3" fontId="5" fillId="3" borderId="25" xfId="0" applyNumberFormat="1" applyFont="1" applyFill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3" fontId="5" fillId="3" borderId="28" xfId="0" applyNumberFormat="1" applyFont="1" applyFill="1" applyBorder="1" applyAlignment="1">
      <alignment horizontal="center" vertical="center" wrapText="1"/>
    </xf>
    <xf numFmtId="3" fontId="5" fillId="3" borderId="28" xfId="0" applyNumberFormat="1" applyFont="1" applyFill="1" applyBorder="1" applyAlignment="1">
      <alignment horizontal="center" vertical="center"/>
    </xf>
    <xf numFmtId="9" fontId="5" fillId="3" borderId="28" xfId="1" applyFont="1" applyFill="1" applyBorder="1" applyAlignment="1">
      <alignment horizontal="center" vertical="center"/>
    </xf>
    <xf numFmtId="3" fontId="5" fillId="3" borderId="29" xfId="0" applyNumberFormat="1" applyFont="1" applyFill="1" applyBorder="1" applyAlignment="1">
      <alignment horizontal="center" vertical="center"/>
    </xf>
    <xf numFmtId="3" fontId="5" fillId="3" borderId="29" xfId="0" applyNumberFormat="1" applyFont="1" applyFill="1" applyBorder="1" applyAlignment="1">
      <alignment horizontal="center" vertical="center" wrapText="1"/>
    </xf>
    <xf numFmtId="3" fontId="3" fillId="3" borderId="21" xfId="0" applyNumberFormat="1" applyFont="1" applyFill="1" applyBorder="1" applyAlignment="1">
      <alignment horizontal="center" vertical="center" wrapText="1"/>
    </xf>
    <xf numFmtId="3" fontId="5" fillId="0" borderId="20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 shrinkToFit="1"/>
    </xf>
    <xf numFmtId="3" fontId="3" fillId="0" borderId="21" xfId="0" applyNumberFormat="1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 wrapText="1"/>
    </xf>
    <xf numFmtId="3" fontId="5" fillId="0" borderId="14" xfId="0" applyNumberFormat="1" applyFont="1" applyBorder="1" applyAlignment="1">
      <alignment horizontal="center" vertical="center"/>
    </xf>
    <xf numFmtId="3" fontId="5" fillId="3" borderId="31" xfId="0" applyNumberFormat="1" applyFont="1" applyFill="1" applyBorder="1" applyAlignment="1">
      <alignment horizontal="center" vertical="center" wrapText="1"/>
    </xf>
    <xf numFmtId="3" fontId="5" fillId="3" borderId="31" xfId="0" applyNumberFormat="1" applyFont="1" applyFill="1" applyBorder="1" applyAlignment="1">
      <alignment horizontal="center" vertical="center"/>
    </xf>
    <xf numFmtId="3" fontId="3" fillId="3" borderId="21" xfId="0" applyNumberFormat="1" applyFont="1" applyFill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3" fontId="5" fillId="3" borderId="33" xfId="0" applyNumberFormat="1" applyFont="1" applyFill="1" applyBorder="1" applyAlignment="1">
      <alignment horizontal="center" vertical="center" wrapText="1"/>
    </xf>
    <xf numFmtId="3" fontId="5" fillId="3" borderId="33" xfId="0" applyNumberFormat="1" applyFont="1" applyFill="1" applyBorder="1" applyAlignment="1">
      <alignment horizontal="center" vertical="center"/>
    </xf>
    <xf numFmtId="9" fontId="5" fillId="3" borderId="33" xfId="1" applyFont="1" applyFill="1" applyBorder="1" applyAlignment="1">
      <alignment horizontal="center" vertical="center"/>
    </xf>
    <xf numFmtId="3" fontId="5" fillId="3" borderId="34" xfId="0" applyNumberFormat="1" applyFont="1" applyFill="1" applyBorder="1" applyAlignment="1">
      <alignment horizontal="center" vertical="center"/>
    </xf>
    <xf numFmtId="3" fontId="5" fillId="3" borderId="34" xfId="0" applyNumberFormat="1" applyFont="1" applyFill="1" applyBorder="1" applyAlignment="1">
      <alignment horizontal="center" vertical="center" wrapText="1"/>
    </xf>
    <xf numFmtId="9" fontId="5" fillId="3" borderId="31" xfId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 wrapText="1"/>
    </xf>
    <xf numFmtId="3" fontId="5" fillId="3" borderId="21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4" fillId="2" borderId="21" xfId="0" applyNumberFormat="1" applyFont="1" applyFill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483E-A971-45ED-A851-053927DF053B}">
  <dimension ref="B1:T39"/>
  <sheetViews>
    <sheetView tabSelected="1" workbookViewId="0">
      <selection activeCell="F26" sqref="F26"/>
    </sheetView>
  </sheetViews>
  <sheetFormatPr baseColWidth="10" defaultColWidth="10.88671875" defaultRowHeight="14.4" outlineLevelRow="1" x14ac:dyDescent="0.3"/>
  <cols>
    <col min="1" max="1" width="2.109375" style="1" customWidth="1"/>
    <col min="2" max="2" width="26" style="1" customWidth="1"/>
    <col min="3" max="3" width="12.5546875" style="1" bestFit="1" customWidth="1"/>
    <col min="4" max="4" width="11.5546875" style="1" customWidth="1"/>
    <col min="5" max="5" width="12.88671875" style="1" customWidth="1"/>
    <col min="6" max="6" width="8.109375" style="1" bestFit="1" customWidth="1"/>
    <col min="7" max="7" width="7.5546875" style="1" bestFit="1" customWidth="1"/>
    <col min="8" max="8" width="8.109375" style="1" bestFit="1" customWidth="1"/>
    <col min="9" max="13" width="9.88671875" style="1" customWidth="1"/>
    <col min="14" max="14" width="14.109375" style="1" customWidth="1"/>
    <col min="15" max="16" width="9.88671875" style="1" customWidth="1"/>
    <col min="17" max="17" width="13.109375" style="1" customWidth="1"/>
    <col min="18" max="18" width="11.109375" style="1" bestFit="1" customWidth="1"/>
    <col min="19" max="19" width="56.5546875" style="1" bestFit="1" customWidth="1"/>
    <col min="20" max="20" width="19.88671875" style="1" bestFit="1" customWidth="1"/>
    <col min="21" max="21" width="5.44140625" style="1" bestFit="1" customWidth="1"/>
    <col min="22" max="22" width="6.109375" style="1" bestFit="1" customWidth="1"/>
    <col min="23" max="23" width="10.88671875" style="1"/>
    <col min="24" max="24" width="9.88671875" style="1" bestFit="1" customWidth="1"/>
    <col min="25" max="25" width="7.44140625" style="1" bestFit="1" customWidth="1"/>
    <col min="26" max="26" width="6.109375" style="1" bestFit="1" customWidth="1"/>
    <col min="27" max="27" width="10.88671875" style="1"/>
    <col min="28" max="28" width="17.33203125" style="1" bestFit="1" customWidth="1"/>
    <col min="29" max="29" width="10.88671875" style="1"/>
    <col min="30" max="30" width="5.44140625" style="1" bestFit="1" customWidth="1"/>
    <col min="31" max="31" width="6.109375" style="1" bestFit="1" customWidth="1"/>
    <col min="32" max="32" width="10.88671875" style="1"/>
    <col min="33" max="33" width="29.6640625" style="1" bestFit="1" customWidth="1"/>
    <col min="34" max="34" width="7.88671875" style="1" bestFit="1" customWidth="1"/>
    <col min="35" max="35" width="5.44140625" style="1" bestFit="1" customWidth="1"/>
    <col min="36" max="16384" width="10.88671875" style="1"/>
  </cols>
  <sheetData>
    <row r="1" spans="2:19" ht="15" thickBot="1" x14ac:dyDescent="0.35"/>
    <row r="2" spans="2:19" ht="29.4" customHeight="1" x14ac:dyDescent="0.3">
      <c r="B2" s="2" t="s">
        <v>0</v>
      </c>
      <c r="E2" s="3" t="s">
        <v>1</v>
      </c>
      <c r="F2" s="4"/>
      <c r="G2" s="4"/>
      <c r="H2" s="4"/>
      <c r="I2" s="4"/>
      <c r="J2" s="5"/>
      <c r="N2" s="3" t="s">
        <v>2</v>
      </c>
      <c r="O2" s="5"/>
    </row>
    <row r="3" spans="2:19" ht="27.75" customHeight="1" thickBot="1" x14ac:dyDescent="0.35">
      <c r="B3" s="6">
        <v>5441</v>
      </c>
      <c r="E3" s="7">
        <f>E22</f>
        <v>158777.0113338501</v>
      </c>
      <c r="F3" s="8" t="s">
        <v>3</v>
      </c>
      <c r="G3" s="7">
        <v>3153</v>
      </c>
      <c r="H3" s="8" t="s">
        <v>4</v>
      </c>
      <c r="I3" s="7">
        <v>181</v>
      </c>
      <c r="J3" s="9" t="s">
        <v>5</v>
      </c>
      <c r="N3" s="10">
        <v>421351</v>
      </c>
      <c r="O3" s="9" t="s">
        <v>3</v>
      </c>
    </row>
    <row r="4" spans="2:19" ht="9.9" customHeight="1" thickBot="1" x14ac:dyDescent="0.35">
      <c r="C4" s="11"/>
      <c r="G4" s="11"/>
      <c r="I4" s="11"/>
      <c r="J4" s="11"/>
      <c r="K4" s="11"/>
      <c r="L4" s="11"/>
      <c r="M4" s="11"/>
      <c r="P4" s="11"/>
    </row>
    <row r="5" spans="2:19" ht="14.4" customHeight="1" x14ac:dyDescent="0.3">
      <c r="B5" s="12" t="s">
        <v>6</v>
      </c>
      <c r="C5" s="13" t="s">
        <v>7</v>
      </c>
      <c r="D5" s="14"/>
      <c r="E5" s="15"/>
      <c r="F5" s="13" t="s">
        <v>8</v>
      </c>
      <c r="G5" s="14"/>
      <c r="H5" s="15"/>
      <c r="I5" s="13" t="s">
        <v>9</v>
      </c>
      <c r="J5" s="15"/>
      <c r="K5" s="13" t="s">
        <v>10</v>
      </c>
      <c r="L5" s="14"/>
      <c r="M5" s="15"/>
      <c r="N5" s="13" t="s">
        <v>11</v>
      </c>
      <c r="O5" s="15"/>
      <c r="P5" s="16" t="s">
        <v>12</v>
      </c>
      <c r="Q5" s="13" t="s">
        <v>13</v>
      </c>
      <c r="R5" s="17"/>
      <c r="S5" s="18" t="s">
        <v>14</v>
      </c>
    </row>
    <row r="6" spans="2:19" ht="58.2" thickBot="1" x14ac:dyDescent="0.35">
      <c r="B6" s="19"/>
      <c r="C6" s="20" t="s">
        <v>15</v>
      </c>
      <c r="D6" s="20" t="s">
        <v>16</v>
      </c>
      <c r="E6" s="21" t="s">
        <v>17</v>
      </c>
      <c r="F6" s="20" t="s">
        <v>15</v>
      </c>
      <c r="G6" s="20" t="s">
        <v>16</v>
      </c>
      <c r="H6" s="21" t="s">
        <v>17</v>
      </c>
      <c r="I6" s="21" t="s">
        <v>18</v>
      </c>
      <c r="J6" s="21" t="s">
        <v>19</v>
      </c>
      <c r="K6" s="21" t="s">
        <v>20</v>
      </c>
      <c r="L6" s="21" t="s">
        <v>21</v>
      </c>
      <c r="M6" s="21" t="s">
        <v>22</v>
      </c>
      <c r="N6" s="21" t="s">
        <v>23</v>
      </c>
      <c r="O6" s="21" t="s">
        <v>24</v>
      </c>
      <c r="P6" s="22"/>
      <c r="Q6" s="21" t="s">
        <v>25</v>
      </c>
      <c r="R6" s="23" t="s">
        <v>26</v>
      </c>
      <c r="S6" s="24"/>
    </row>
    <row r="7" spans="2:19" outlineLevel="1" x14ac:dyDescent="0.3">
      <c r="B7" s="25" t="s">
        <v>27</v>
      </c>
      <c r="C7" s="26">
        <v>12341.785649434119</v>
      </c>
      <c r="D7" s="26">
        <v>2816.7068374948703</v>
      </c>
      <c r="E7" s="27">
        <f t="shared" ref="E7:E21" si="0">SUM(C7:D7)</f>
        <v>15158.49248692899</v>
      </c>
      <c r="F7" s="28">
        <v>14273</v>
      </c>
      <c r="G7" s="29">
        <v>1670</v>
      </c>
      <c r="H7" s="27">
        <f>SUM(F7:G7)</f>
        <v>15943</v>
      </c>
      <c r="I7" s="27">
        <f t="shared" ref="I7:I22" si="1">+H7-E7</f>
        <v>784.50751307101018</v>
      </c>
      <c r="J7" s="30">
        <f t="shared" ref="J7:J22" si="2">IF(H7=0,0,(H7/E7))</f>
        <v>1.0517536630867141</v>
      </c>
      <c r="K7" s="26">
        <v>48</v>
      </c>
      <c r="L7" s="26">
        <f>+M7-K7</f>
        <v>12</v>
      </c>
      <c r="M7" s="26">
        <v>60</v>
      </c>
      <c r="N7" s="27">
        <f>IF(E7=0,0,(E7/K7))</f>
        <v>315.80192681102062</v>
      </c>
      <c r="O7" s="27">
        <f>IF(H7=0,0,(H7/M7))</f>
        <v>265.71666666666664</v>
      </c>
      <c r="P7" s="31">
        <v>5038</v>
      </c>
      <c r="Q7" s="31">
        <v>17</v>
      </c>
      <c r="R7" s="31">
        <v>18</v>
      </c>
      <c r="S7" s="32"/>
    </row>
    <row r="8" spans="2:19" ht="15" customHeight="1" outlineLevel="1" x14ac:dyDescent="0.3">
      <c r="B8" s="33" t="s">
        <v>28</v>
      </c>
      <c r="C8" s="26">
        <v>13302.240572299937</v>
      </c>
      <c r="D8" s="34">
        <v>1354.1631625051295</v>
      </c>
      <c r="E8" s="35">
        <f t="shared" si="0"/>
        <v>14656.403734805066</v>
      </c>
      <c r="F8" s="34">
        <v>12654</v>
      </c>
      <c r="G8" s="34">
        <v>1965</v>
      </c>
      <c r="H8" s="35">
        <f>SUM(F8:G8)</f>
        <v>14619</v>
      </c>
      <c r="I8" s="35">
        <f t="shared" si="1"/>
        <v>-37.403734805066051</v>
      </c>
      <c r="J8" s="30">
        <f t="shared" si="2"/>
        <v>0.99744795957576948</v>
      </c>
      <c r="K8" s="34">
        <v>48</v>
      </c>
      <c r="L8" s="26">
        <f>+M8-K8</f>
        <v>12</v>
      </c>
      <c r="M8" s="34">
        <v>60</v>
      </c>
      <c r="N8" s="27">
        <f>IF(E8=0,0,(E8/K8))</f>
        <v>305.34174447510554</v>
      </c>
      <c r="O8" s="27">
        <f>IF(H8=0,0,(H8/M8))</f>
        <v>243.65</v>
      </c>
      <c r="P8" s="36">
        <v>2415</v>
      </c>
      <c r="Q8" s="36">
        <v>18</v>
      </c>
      <c r="R8" s="36">
        <v>15</v>
      </c>
      <c r="S8" s="32"/>
    </row>
    <row r="9" spans="2:19" ht="15" customHeight="1" outlineLevel="1" x14ac:dyDescent="0.3">
      <c r="B9" s="33" t="s">
        <v>29</v>
      </c>
      <c r="C9" s="26">
        <v>10297.441258243278</v>
      </c>
      <c r="D9" s="34">
        <v>986.03999999999985</v>
      </c>
      <c r="E9" s="35">
        <f t="shared" si="0"/>
        <v>11283.481258243277</v>
      </c>
      <c r="F9" s="34">
        <v>10053</v>
      </c>
      <c r="G9" s="34">
        <v>1702</v>
      </c>
      <c r="H9" s="35">
        <f>SUM(F9:G9)</f>
        <v>11755</v>
      </c>
      <c r="I9" s="35">
        <f t="shared" si="1"/>
        <v>471.5187417567231</v>
      </c>
      <c r="J9" s="30">
        <f t="shared" si="2"/>
        <v>1.0417884100629182</v>
      </c>
      <c r="K9" s="34">
        <v>48</v>
      </c>
      <c r="L9" s="26">
        <f>+M9-K9</f>
        <v>2</v>
      </c>
      <c r="M9" s="34">
        <v>50</v>
      </c>
      <c r="N9" s="27">
        <f>IF(E9=0,0,(E9/K9))</f>
        <v>235.0725262134016</v>
      </c>
      <c r="O9" s="27">
        <f>IF(H9=0,0,(H9/M9))</f>
        <v>235.1</v>
      </c>
      <c r="P9" s="36">
        <v>5269</v>
      </c>
      <c r="Q9" s="36">
        <v>12</v>
      </c>
      <c r="R9" s="36">
        <v>8</v>
      </c>
      <c r="S9" s="32"/>
    </row>
    <row r="10" spans="2:19" ht="15" customHeight="1" outlineLevel="1" thickBot="1" x14ac:dyDescent="0.35">
      <c r="B10" s="37" t="s">
        <v>30</v>
      </c>
      <c r="C10" s="26">
        <v>8733.3233190424598</v>
      </c>
      <c r="D10" s="38">
        <v>1249.6325420972039</v>
      </c>
      <c r="E10" s="39">
        <f t="shared" si="0"/>
        <v>9982.9558611396642</v>
      </c>
      <c r="F10" s="38">
        <v>9877</v>
      </c>
      <c r="G10" s="38">
        <v>1798</v>
      </c>
      <c r="H10" s="39">
        <f>SUM(F10:G10)</f>
        <v>11675</v>
      </c>
      <c r="I10" s="39">
        <f t="shared" si="1"/>
        <v>1692.0441388603358</v>
      </c>
      <c r="J10" s="30">
        <f t="shared" si="2"/>
        <v>1.169493300621202</v>
      </c>
      <c r="K10" s="38">
        <v>48</v>
      </c>
      <c r="L10" s="26">
        <f>+M10-K10</f>
        <v>2</v>
      </c>
      <c r="M10" s="38">
        <v>50</v>
      </c>
      <c r="N10" s="27">
        <f>IF(E10=0,0,(E10/K10))</f>
        <v>207.97824710707633</v>
      </c>
      <c r="O10" s="27">
        <f>IF(H10=0,0,(H10/M10))</f>
        <v>233.5</v>
      </c>
      <c r="P10" s="40">
        <v>2443</v>
      </c>
      <c r="Q10" s="40">
        <v>12</v>
      </c>
      <c r="R10" s="40">
        <v>17</v>
      </c>
      <c r="S10" s="32"/>
    </row>
    <row r="11" spans="2:19" ht="15.6" thickTop="1" thickBot="1" x14ac:dyDescent="0.35">
      <c r="B11" s="41" t="s">
        <v>31</v>
      </c>
      <c r="C11" s="42">
        <f>SUM(C7:C10)</f>
        <v>44674.790799019793</v>
      </c>
      <c r="D11" s="42">
        <f>SUM(D7:D10)</f>
        <v>6406.5425420972042</v>
      </c>
      <c r="E11" s="43">
        <f t="shared" si="0"/>
        <v>51081.333341116995</v>
      </c>
      <c r="F11" s="42">
        <f>SUM(F7:F10)</f>
        <v>46857</v>
      </c>
      <c r="G11" s="42">
        <f>SUM(G7:G10)</f>
        <v>7135</v>
      </c>
      <c r="H11" s="43">
        <f>IF(H8=0,H7*4,(IF(H9=0,(SUM(H7:H8)*2),(IF(H10=0,(SUM(H7:H9)*1.33),SUM(H7:H10))))))</f>
        <v>53992</v>
      </c>
      <c r="I11" s="42">
        <f t="shared" si="1"/>
        <v>2910.6666588830049</v>
      </c>
      <c r="J11" s="44">
        <f t="shared" si="2"/>
        <v>1.0569810235658066</v>
      </c>
      <c r="K11" s="42">
        <f>IF(E11=0,0,(AVERAGE(K7:K10)))</f>
        <v>48</v>
      </c>
      <c r="L11" s="42">
        <f>IF(F11=0,0,(AVERAGE(L7:L10)))</f>
        <v>7</v>
      </c>
      <c r="M11" s="42">
        <f>IF(H11=0,0,(AVERAGE(M7:M10)))</f>
        <v>55</v>
      </c>
      <c r="N11" s="43">
        <f>IF(N8=0,N7*4,(IF(N9=0,(SUM(N7:N8)*2),(IF(N10=0,(SUM(N7:N9)*1.33),SUM(N7:N10))))))</f>
        <v>1064.1944446066041</v>
      </c>
      <c r="O11" s="43">
        <f>IF(O8=0,O7*4,(IF(O9=0,(SUM(O7:O8)*2),(IF(O10=0,(SUM(O7:O9)*1.33),SUM(O7:O10))))))</f>
        <v>977.9666666666667</v>
      </c>
      <c r="P11" s="45">
        <f>SUM(P7:P10)</f>
        <v>15165</v>
      </c>
      <c r="Q11" s="42">
        <f>SUM(Q7:Q10)</f>
        <v>59</v>
      </c>
      <c r="R11" s="46">
        <f>SUM(R7:R10)</f>
        <v>58</v>
      </c>
      <c r="S11" s="47"/>
    </row>
    <row r="12" spans="2:19" outlineLevel="1" x14ac:dyDescent="0.3">
      <c r="B12" s="25" t="s">
        <v>32</v>
      </c>
      <c r="C12" s="26">
        <v>13038.503669959711</v>
      </c>
      <c r="D12" s="26">
        <v>1609.487457902796</v>
      </c>
      <c r="E12" s="27">
        <f t="shared" si="0"/>
        <v>14647.991127862508</v>
      </c>
      <c r="F12" s="26">
        <v>10012</v>
      </c>
      <c r="G12" s="26">
        <v>1381</v>
      </c>
      <c r="H12" s="27">
        <f>SUM(F12:G12)</f>
        <v>11393</v>
      </c>
      <c r="I12" s="27">
        <f t="shared" si="1"/>
        <v>-3254.9911278625077</v>
      </c>
      <c r="J12" s="30">
        <f t="shared" si="2"/>
        <v>0.7777858342861047</v>
      </c>
      <c r="K12" s="26">
        <v>47</v>
      </c>
      <c r="L12" s="26">
        <f>+M12-K12</f>
        <v>8</v>
      </c>
      <c r="M12" s="26">
        <v>55</v>
      </c>
      <c r="N12" s="27">
        <f>IF(E12=0,0,(E12/K12))</f>
        <v>311.65938569920229</v>
      </c>
      <c r="O12" s="27">
        <f>IF(H12=0,0,(H12/M12))</f>
        <v>207.14545454545456</v>
      </c>
      <c r="P12" s="48">
        <v>6584</v>
      </c>
      <c r="Q12" s="48">
        <v>14</v>
      </c>
      <c r="R12" s="31">
        <v>19</v>
      </c>
      <c r="S12" s="49" t="s">
        <v>33</v>
      </c>
    </row>
    <row r="13" spans="2:19" outlineLevel="1" x14ac:dyDescent="0.3">
      <c r="B13" s="33" t="s">
        <v>34</v>
      </c>
      <c r="C13" s="34">
        <v>6666.5901804181321</v>
      </c>
      <c r="D13" s="34">
        <v>2298.1264451391589</v>
      </c>
      <c r="E13" s="35">
        <f t="shared" si="0"/>
        <v>8964.716625557292</v>
      </c>
      <c r="F13" s="34">
        <v>11276</v>
      </c>
      <c r="G13" s="34">
        <v>1520</v>
      </c>
      <c r="H13" s="35">
        <f>SUM(F13:G13)</f>
        <v>12796</v>
      </c>
      <c r="I13" s="35">
        <f t="shared" si="1"/>
        <v>3831.283374442708</v>
      </c>
      <c r="J13" s="30">
        <f t="shared" si="2"/>
        <v>1.4273736175352376</v>
      </c>
      <c r="K13" s="34">
        <v>47</v>
      </c>
      <c r="L13" s="26">
        <f>+M13-K13</f>
        <v>8</v>
      </c>
      <c r="M13" s="26">
        <v>55</v>
      </c>
      <c r="N13" s="27">
        <f>IF(E13=0,0,(E13/K13))</f>
        <v>190.73865160760195</v>
      </c>
      <c r="O13" s="27">
        <f>IF(H13=0,0,(H13/M13))</f>
        <v>232.65454545454546</v>
      </c>
      <c r="P13" s="36">
        <v>1967</v>
      </c>
      <c r="Q13" s="36">
        <v>14</v>
      </c>
      <c r="R13" s="36">
        <v>14</v>
      </c>
      <c r="S13" s="50"/>
    </row>
    <row r="14" spans="2:19" outlineLevel="1" x14ac:dyDescent="0.3">
      <c r="B14" s="33" t="s">
        <v>35</v>
      </c>
      <c r="C14" s="34">
        <v>11405.086430663188</v>
      </c>
      <c r="D14" s="34">
        <v>1369.4508026729834</v>
      </c>
      <c r="E14" s="35">
        <f t="shared" si="0"/>
        <v>12774.537233336172</v>
      </c>
      <c r="F14" s="34">
        <v>6870</v>
      </c>
      <c r="G14" s="34">
        <v>1077</v>
      </c>
      <c r="H14" s="35">
        <f>SUM(F14:G14)</f>
        <v>7947</v>
      </c>
      <c r="I14" s="35">
        <f t="shared" si="1"/>
        <v>-4827.537233336172</v>
      </c>
      <c r="J14" s="30">
        <f t="shared" si="2"/>
        <v>0.62209689907683474</v>
      </c>
      <c r="K14" s="34">
        <v>47</v>
      </c>
      <c r="L14" s="26">
        <f>+M14-K14</f>
        <v>-2</v>
      </c>
      <c r="M14" s="26">
        <v>45</v>
      </c>
      <c r="N14" s="27">
        <f>IF(E14=0,0,(E14/K14))</f>
        <v>271.79866453906749</v>
      </c>
      <c r="O14" s="27">
        <f>IF(H14=0,0,(H14/M14))</f>
        <v>176.6</v>
      </c>
      <c r="P14" s="36">
        <v>3582</v>
      </c>
      <c r="Q14" s="36">
        <v>18</v>
      </c>
      <c r="R14" s="51">
        <v>11</v>
      </c>
      <c r="S14" s="50" t="s">
        <v>36</v>
      </c>
    </row>
    <row r="15" spans="2:19" ht="15" customHeight="1" outlineLevel="1" thickBot="1" x14ac:dyDescent="0.35">
      <c r="B15" s="37" t="s">
        <v>37</v>
      </c>
      <c r="C15" s="38">
        <v>9774.6851958888765</v>
      </c>
      <c r="D15" s="38">
        <v>516.13948346424343</v>
      </c>
      <c r="E15" s="39">
        <f t="shared" si="0"/>
        <v>10290.82467935312</v>
      </c>
      <c r="F15" s="52">
        <v>9126</v>
      </c>
      <c r="G15" s="38">
        <v>879</v>
      </c>
      <c r="H15" s="39">
        <f>SUM(F15:G15)</f>
        <v>10005</v>
      </c>
      <c r="I15" s="39">
        <f t="shared" si="1"/>
        <v>-285.82467935311979</v>
      </c>
      <c r="J15" s="30">
        <f t="shared" si="2"/>
        <v>0.972225289200915</v>
      </c>
      <c r="K15" s="38">
        <v>47</v>
      </c>
      <c r="L15" s="26">
        <f>+M15-K15</f>
        <v>-2</v>
      </c>
      <c r="M15" s="26">
        <v>45</v>
      </c>
      <c r="N15" s="27">
        <f>IF(E15=0,0,(E15/K15))</f>
        <v>218.95371658198127</v>
      </c>
      <c r="O15" s="27">
        <f>IF(H15=0,0,(H15/M15))</f>
        <v>222.33333333333334</v>
      </c>
      <c r="P15" s="40">
        <v>1307</v>
      </c>
      <c r="Q15" s="40">
        <v>12</v>
      </c>
      <c r="R15" s="36">
        <v>8</v>
      </c>
      <c r="S15" s="50" t="s">
        <v>38</v>
      </c>
    </row>
    <row r="16" spans="2:19" ht="15" customHeight="1" thickTop="1" thickBot="1" x14ac:dyDescent="0.35">
      <c r="B16" s="53" t="s">
        <v>39</v>
      </c>
      <c r="C16" s="54">
        <f>SUM(C12:C15)</f>
        <v>40884.86547692991</v>
      </c>
      <c r="D16" s="54">
        <f>SUM(D12:D15)</f>
        <v>5793.2041891791814</v>
      </c>
      <c r="E16" s="55">
        <f t="shared" si="0"/>
        <v>46678.069666109091</v>
      </c>
      <c r="F16" s="54">
        <f>SUM(F12:F15)</f>
        <v>37284</v>
      </c>
      <c r="G16" s="54">
        <f>SUM(G12:G15)</f>
        <v>4857</v>
      </c>
      <c r="H16" s="43">
        <f>IF(H13=0,H12*4,(IF(H14=0,(SUM(H12:H13)*2),(IF(H15=0,(SUM(H12:H14)*1.33),SUM(H12:H15))))))</f>
        <v>42141</v>
      </c>
      <c r="I16" s="55">
        <f t="shared" si="1"/>
        <v>-4537.0696661090915</v>
      </c>
      <c r="J16" s="44">
        <f t="shared" si="2"/>
        <v>0.90280082919960036</v>
      </c>
      <c r="K16" s="42">
        <f>IF(E16=0,0,(AVERAGE(K12:K15)))</f>
        <v>47</v>
      </c>
      <c r="L16" s="42">
        <f>IF(F16=0,0,(AVERAGE(L12:L15)))</f>
        <v>3</v>
      </c>
      <c r="M16" s="42">
        <f>IF(H16=0,0,(AVERAGE(M12:M15)))</f>
        <v>50</v>
      </c>
      <c r="N16" s="43">
        <f>IF(N13=0,N12*4,(IF(N14=0,(SUM(N12:N13)*2),(IF(N15=0,(SUM(N12:N14)*1.33),SUM(N12:N15))))))</f>
        <v>993.15041842785308</v>
      </c>
      <c r="O16" s="43">
        <f>IF(O13=0,O12*4,(IF(O14=0,(SUM(O12:O13)*2),(IF(O15=0,(SUM(O12:O14)*1.33),SUM(O12:O15))))))</f>
        <v>838.73333333333335</v>
      </c>
      <c r="P16" s="45">
        <f>SUM(P12:P15)</f>
        <v>13440</v>
      </c>
      <c r="Q16" s="42">
        <f>SUM(Q12:Q15)</f>
        <v>58</v>
      </c>
      <c r="R16" s="46">
        <f>SUM(R12:R15)</f>
        <v>52</v>
      </c>
      <c r="S16" s="56"/>
    </row>
    <row r="17" spans="2:20" ht="15" customHeight="1" outlineLevel="1" x14ac:dyDescent="0.3">
      <c r="B17" s="25" t="s">
        <v>40</v>
      </c>
      <c r="C17" s="26">
        <v>15360.885416250363</v>
      </c>
      <c r="D17" s="26">
        <v>1102.800239870201</v>
      </c>
      <c r="E17" s="27">
        <f t="shared" si="0"/>
        <v>16463.685656120564</v>
      </c>
      <c r="F17" s="26">
        <v>18008</v>
      </c>
      <c r="G17" s="26">
        <v>713</v>
      </c>
      <c r="H17" s="27">
        <f>SUM(F17:G17)</f>
        <v>18721</v>
      </c>
      <c r="I17" s="27">
        <f t="shared" si="1"/>
        <v>2257.3143438794359</v>
      </c>
      <c r="J17" s="30">
        <f t="shared" si="2"/>
        <v>1.1371086882383625</v>
      </c>
      <c r="K17" s="26">
        <v>58</v>
      </c>
      <c r="L17" s="26">
        <f>+M17-K17</f>
        <v>23</v>
      </c>
      <c r="M17" s="26">
        <v>81</v>
      </c>
      <c r="N17" s="27">
        <f>IF(E17=0,0,(E17/K17))</f>
        <v>283.85664924345798</v>
      </c>
      <c r="O17" s="27">
        <f>IF(H17=0,0,(H17/M17))</f>
        <v>231.12345679012347</v>
      </c>
      <c r="P17" s="31">
        <v>2948</v>
      </c>
      <c r="Q17" s="31">
        <v>23</v>
      </c>
      <c r="R17" s="31">
        <v>24</v>
      </c>
      <c r="S17" s="50" t="s">
        <v>41</v>
      </c>
    </row>
    <row r="18" spans="2:20" ht="15" customHeight="1" outlineLevel="1" x14ac:dyDescent="0.3">
      <c r="B18" s="33" t="s">
        <v>42</v>
      </c>
      <c r="C18" s="34">
        <v>16928.96895805277</v>
      </c>
      <c r="D18" s="34">
        <v>681.42768985701298</v>
      </c>
      <c r="E18" s="35">
        <f t="shared" si="0"/>
        <v>17610.396647909783</v>
      </c>
      <c r="F18" s="34">
        <v>12666</v>
      </c>
      <c r="G18" s="34">
        <v>814</v>
      </c>
      <c r="H18" s="35">
        <f>SUM(F18:G18)</f>
        <v>13480</v>
      </c>
      <c r="I18" s="35">
        <f t="shared" si="1"/>
        <v>-4130.3966479097835</v>
      </c>
      <c r="J18" s="30">
        <f t="shared" si="2"/>
        <v>0.76545692124430209</v>
      </c>
      <c r="K18" s="34">
        <v>58</v>
      </c>
      <c r="L18" s="26">
        <f>+M18-K18</f>
        <v>23</v>
      </c>
      <c r="M18" s="34">
        <v>81</v>
      </c>
      <c r="N18" s="27">
        <f>IF(E18=0,0,(E18/K18))</f>
        <v>303.62752841223767</v>
      </c>
      <c r="O18" s="27">
        <f>IF(H18=0,0,(H18/M18))</f>
        <v>166.41975308641975</v>
      </c>
      <c r="P18" s="36">
        <v>7215</v>
      </c>
      <c r="Q18" s="36">
        <v>21</v>
      </c>
      <c r="R18" s="31">
        <v>17</v>
      </c>
      <c r="S18" s="50"/>
    </row>
    <row r="19" spans="2:20" ht="15" customHeight="1" outlineLevel="1" x14ac:dyDescent="0.3">
      <c r="B19" s="33" t="s">
        <v>43</v>
      </c>
      <c r="C19" s="34">
        <v>12309.30226347922</v>
      </c>
      <c r="D19" s="34">
        <v>904.92351384345693</v>
      </c>
      <c r="E19" s="35">
        <f t="shared" si="0"/>
        <v>13214.225777322677</v>
      </c>
      <c r="F19" s="34">
        <v>16320</v>
      </c>
      <c r="G19" s="34">
        <v>1023</v>
      </c>
      <c r="H19" s="35">
        <f>SUM(F19:G19)</f>
        <v>17343</v>
      </c>
      <c r="I19" s="35">
        <f t="shared" si="1"/>
        <v>4128.7742226773225</v>
      </c>
      <c r="J19" s="30">
        <f t="shared" si="2"/>
        <v>1.3124491962111646</v>
      </c>
      <c r="K19" s="26">
        <v>58</v>
      </c>
      <c r="L19" s="26">
        <f>+M19-K19</f>
        <v>14</v>
      </c>
      <c r="M19" s="34">
        <v>72</v>
      </c>
      <c r="N19" s="27">
        <f>IF(E19=0,0,(E19/K19))</f>
        <v>227.8314789193565</v>
      </c>
      <c r="O19" s="27">
        <f>IF(H19=0,0,(H19/M19))</f>
        <v>240.875</v>
      </c>
      <c r="P19" s="36">
        <v>4656</v>
      </c>
      <c r="Q19" s="36">
        <v>16</v>
      </c>
      <c r="R19" s="31">
        <v>21</v>
      </c>
      <c r="S19" s="50"/>
    </row>
    <row r="20" spans="2:20" ht="15.75" customHeight="1" outlineLevel="1" thickBot="1" x14ac:dyDescent="0.35">
      <c r="B20" s="37" t="s">
        <v>44</v>
      </c>
      <c r="C20" s="38">
        <v>12706.918420118049</v>
      </c>
      <c r="D20" s="38">
        <v>1022.3818251529426</v>
      </c>
      <c r="E20" s="39">
        <f t="shared" si="0"/>
        <v>13729.300245270992</v>
      </c>
      <c r="F20" s="38">
        <v>12658</v>
      </c>
      <c r="G20" s="38">
        <v>1682</v>
      </c>
      <c r="H20" s="39">
        <f>SUM(F20:G20)</f>
        <v>14340</v>
      </c>
      <c r="I20" s="39">
        <f t="shared" si="1"/>
        <v>610.69975472900842</v>
      </c>
      <c r="J20" s="30">
        <f t="shared" si="2"/>
        <v>1.044481491687048</v>
      </c>
      <c r="K20" s="34">
        <v>58</v>
      </c>
      <c r="L20" s="26">
        <f>+M20-K20</f>
        <v>13</v>
      </c>
      <c r="M20" s="38">
        <v>71</v>
      </c>
      <c r="N20" s="27">
        <f>IF(E20=0,0,(E20/K20))</f>
        <v>236.71207319432744</v>
      </c>
      <c r="O20" s="27">
        <f>IF(H20=0,0,(H20/M20))</f>
        <v>201.97183098591549</v>
      </c>
      <c r="P20" s="40">
        <v>1916</v>
      </c>
      <c r="Q20" s="40">
        <v>28</v>
      </c>
      <c r="R20" s="31">
        <v>12</v>
      </c>
      <c r="S20" s="50"/>
    </row>
    <row r="21" spans="2:20" ht="15.6" thickTop="1" thickBot="1" x14ac:dyDescent="0.35">
      <c r="B21" s="57" t="s">
        <v>45</v>
      </c>
      <c r="C21" s="58">
        <f>SUM(C17:C20)</f>
        <v>57306.075057900402</v>
      </c>
      <c r="D21" s="58">
        <f>SUM(D17:D20)</f>
        <v>3711.5332687236132</v>
      </c>
      <c r="E21" s="59">
        <f t="shared" si="0"/>
        <v>61017.608326624017</v>
      </c>
      <c r="F21" s="58">
        <f>SUM(F17:F20)</f>
        <v>59652</v>
      </c>
      <c r="G21" s="58">
        <f>SUM(G17:G20)</f>
        <v>4232</v>
      </c>
      <c r="H21" s="59">
        <f>IF(H18=0,H17*4,(IF(H19=0,(SUM(H17:H18)*2),(IF(H20=0,(SUM(H17:H19)*1.33),SUM(H17:H20))))))</f>
        <v>63884</v>
      </c>
      <c r="I21" s="59">
        <f t="shared" si="1"/>
        <v>2866.3916733759834</v>
      </c>
      <c r="J21" s="60">
        <f t="shared" si="2"/>
        <v>1.0469764671540769</v>
      </c>
      <c r="K21" s="58">
        <f>IF(E21=0,0,(AVERAGE(K17:K20)))</f>
        <v>58</v>
      </c>
      <c r="L21" s="58">
        <f>IF(F21=0,0,(AVERAGE(L17:L20)))</f>
        <v>18.25</v>
      </c>
      <c r="M21" s="58">
        <f>IF(G21=0,0,(AVERAGE(M17:M20)))</f>
        <v>76.25</v>
      </c>
      <c r="N21" s="59">
        <f>IF(N18=0,N17*4,(IF(N19=0,(SUM(N17:N18)*2),(IF(N20=0,(SUM(N17:N19)*1.33),SUM(N17:N20))))))</f>
        <v>1052.0277297693797</v>
      </c>
      <c r="O21" s="59">
        <f>IF(O18=0,O17*4,(IF(O19=0,(SUM(O17:O18)*2),(IF(O20=0,(SUM(O17:O19)*1.33),SUM(O17:O20))))))</f>
        <v>840.3900408624587</v>
      </c>
      <c r="P21" s="61">
        <f>SUM(P17:P20)</f>
        <v>16735</v>
      </c>
      <c r="Q21" s="58">
        <f>SUM(Q17:Q20)</f>
        <v>88</v>
      </c>
      <c r="R21" s="62">
        <f>SUM(R17:R20)</f>
        <v>74</v>
      </c>
      <c r="S21" s="56"/>
    </row>
    <row r="22" spans="2:20" ht="15.6" thickTop="1" thickBot="1" x14ac:dyDescent="0.35">
      <c r="B22" s="53" t="s">
        <v>46</v>
      </c>
      <c r="C22" s="54">
        <f t="shared" ref="C22:H22" si="3">SUM(C21,C16,C11)</f>
        <v>142865.7313338501</v>
      </c>
      <c r="D22" s="54">
        <f t="shared" si="3"/>
        <v>15911.279999999999</v>
      </c>
      <c r="E22" s="54">
        <f t="shared" si="3"/>
        <v>158777.0113338501</v>
      </c>
      <c r="F22" s="54">
        <f t="shared" si="3"/>
        <v>143793</v>
      </c>
      <c r="G22" s="54">
        <f t="shared" si="3"/>
        <v>16224</v>
      </c>
      <c r="H22" s="54">
        <f t="shared" si="3"/>
        <v>160017</v>
      </c>
      <c r="I22" s="43">
        <f t="shared" si="1"/>
        <v>1239.988666149904</v>
      </c>
      <c r="J22" s="63">
        <f t="shared" si="2"/>
        <v>1.0078096234192409</v>
      </c>
      <c r="K22" s="54">
        <f>SUM(K21,K16,K11)</f>
        <v>153</v>
      </c>
      <c r="L22" s="54">
        <f>IF(F22=0,0,(AVERAGE(L18:L21)))</f>
        <v>17.0625</v>
      </c>
      <c r="M22" s="54">
        <f>SUM(M21,M16,M11)</f>
        <v>181.25</v>
      </c>
      <c r="N22" s="54">
        <f>IF(N16=0,N11,IF(N21=0,AVERAGE(N11,N16),AVERAGE(N21,N16,N11)))</f>
        <v>1036.4575309346121</v>
      </c>
      <c r="O22" s="54">
        <f>IF(O16=0,O11,IF(O21=0,AVERAGE(O11,O16),AVERAGE(O21,O16,O11)))</f>
        <v>885.69668028748629</v>
      </c>
      <c r="P22" s="64">
        <f>SUM(P21,P16,P11)</f>
        <v>45340</v>
      </c>
      <c r="Q22" s="54">
        <f>Q11+Q16+Q21</f>
        <v>205</v>
      </c>
      <c r="R22" s="64">
        <f>SUM(R21,R16,R11)</f>
        <v>184</v>
      </c>
      <c r="S22" s="65"/>
      <c r="T22" s="66"/>
    </row>
    <row r="23" spans="2:20" x14ac:dyDescent="0.3">
      <c r="B23" s="67"/>
      <c r="C23" s="66"/>
      <c r="D23" s="66"/>
      <c r="E23" s="66"/>
      <c r="F23" s="66"/>
      <c r="G23" s="66"/>
      <c r="H23" s="66"/>
      <c r="I23" s="67"/>
      <c r="J23" s="67"/>
      <c r="K23" s="67"/>
      <c r="L23" s="67"/>
      <c r="M23" s="66"/>
      <c r="N23" s="66"/>
      <c r="O23" s="66"/>
      <c r="Q23" s="66"/>
      <c r="R23" s="66"/>
    </row>
    <row r="24" spans="2:20" ht="15" customHeight="1" x14ac:dyDescent="0.3">
      <c r="B24" s="68" t="s">
        <v>47</v>
      </c>
      <c r="C24" s="69" t="s">
        <v>15</v>
      </c>
      <c r="D24" s="69" t="s">
        <v>16</v>
      </c>
      <c r="E24" s="66"/>
      <c r="Q24" s="66"/>
      <c r="R24" s="66"/>
    </row>
    <row r="25" spans="2:20" ht="15" customHeight="1" x14ac:dyDescent="0.3">
      <c r="B25" s="34" t="s">
        <v>31</v>
      </c>
      <c r="C25" s="50">
        <v>4</v>
      </c>
      <c r="D25" s="50">
        <v>0</v>
      </c>
      <c r="E25" s="66"/>
      <c r="Q25" s="66"/>
      <c r="R25" s="66"/>
    </row>
    <row r="26" spans="2:20" ht="15" customHeight="1" x14ac:dyDescent="0.3">
      <c r="B26" s="34" t="s">
        <v>39</v>
      </c>
      <c r="C26" s="50">
        <v>2</v>
      </c>
      <c r="D26" s="50">
        <v>0</v>
      </c>
      <c r="E26" s="66"/>
      <c r="F26" s="66"/>
      <c r="K26" s="67"/>
      <c r="L26" s="67"/>
      <c r="M26" s="66"/>
      <c r="Q26" s="66"/>
      <c r="R26" s="66"/>
    </row>
    <row r="27" spans="2:20" ht="15" customHeight="1" thickBot="1" x14ac:dyDescent="0.35">
      <c r="B27" s="34" t="s">
        <v>45</v>
      </c>
      <c r="C27" s="50">
        <v>5</v>
      </c>
      <c r="D27" s="50">
        <v>0</v>
      </c>
      <c r="E27" s="66"/>
      <c r="F27" s="66"/>
      <c r="G27" s="66"/>
      <c r="H27" s="66"/>
      <c r="I27" s="67"/>
      <c r="J27" s="67"/>
      <c r="K27" s="67"/>
      <c r="L27" s="67"/>
      <c r="M27" s="66"/>
      <c r="Q27" s="66"/>
      <c r="R27" s="66"/>
    </row>
    <row r="28" spans="2:20" ht="15" customHeight="1" thickTop="1" thickBot="1" x14ac:dyDescent="0.35">
      <c r="B28" s="59" t="s">
        <v>46</v>
      </c>
      <c r="C28" s="59">
        <f>+SUM(C25:C27)</f>
        <v>11</v>
      </c>
      <c r="D28" s="59">
        <f>+SUM(D25:D27)</f>
        <v>0</v>
      </c>
      <c r="E28" s="66"/>
      <c r="F28" s="66"/>
      <c r="G28" s="66"/>
      <c r="H28" s="66"/>
      <c r="I28" s="67"/>
      <c r="J28" s="67"/>
      <c r="K28" s="67"/>
      <c r="L28" s="67"/>
      <c r="M28" s="66"/>
      <c r="N28" s="66"/>
      <c r="O28" s="66"/>
      <c r="Q28" s="66"/>
      <c r="R28" s="66"/>
    </row>
    <row r="29" spans="2:20" ht="15.75" customHeight="1" thickTop="1" x14ac:dyDescent="0.3">
      <c r="B29" s="67"/>
      <c r="C29" s="66"/>
      <c r="D29" s="66"/>
      <c r="E29" s="66"/>
      <c r="F29" s="66"/>
      <c r="G29" s="66"/>
      <c r="H29" s="66"/>
      <c r="I29" s="67"/>
      <c r="J29" s="67"/>
      <c r="K29" s="67"/>
      <c r="L29" s="67"/>
      <c r="M29" s="66"/>
      <c r="N29" s="66"/>
      <c r="O29" s="66"/>
      <c r="Q29" s="66"/>
      <c r="R29" s="66"/>
    </row>
    <row r="30" spans="2:20" x14ac:dyDescent="0.3">
      <c r="B30" s="67"/>
      <c r="C30" s="66"/>
      <c r="D30" s="66"/>
      <c r="E30" s="66"/>
      <c r="F30" s="66"/>
      <c r="G30" s="66"/>
      <c r="H30" s="66"/>
      <c r="I30" s="67"/>
      <c r="J30" s="67"/>
      <c r="K30" s="67"/>
      <c r="L30" s="67"/>
      <c r="M30" s="66"/>
      <c r="N30" s="66"/>
      <c r="O30" s="66"/>
      <c r="Q30" s="66"/>
      <c r="R30" s="66"/>
    </row>
    <row r="31" spans="2:20" x14ac:dyDescent="0.3">
      <c r="B31" s="67"/>
      <c r="C31" s="66"/>
      <c r="D31" s="66"/>
      <c r="E31" s="66"/>
      <c r="F31" s="66"/>
      <c r="G31" s="66"/>
      <c r="H31" s="66"/>
      <c r="I31" s="67"/>
      <c r="J31" s="67"/>
      <c r="K31" s="67"/>
      <c r="L31" s="67"/>
      <c r="M31" s="66"/>
      <c r="N31" s="66"/>
      <c r="O31" s="66"/>
      <c r="Q31" s="66"/>
      <c r="R31" s="66"/>
    </row>
    <row r="32" spans="2:20" x14ac:dyDescent="0.3">
      <c r="B32" s="67"/>
      <c r="C32" s="66"/>
      <c r="D32" s="66"/>
      <c r="E32" s="66"/>
      <c r="F32" s="66"/>
      <c r="G32" s="66"/>
      <c r="H32" s="66"/>
      <c r="I32" s="67"/>
      <c r="J32" s="67"/>
      <c r="K32" s="67"/>
      <c r="L32" s="67"/>
      <c r="M32" s="66"/>
      <c r="N32" s="66"/>
      <c r="O32" s="66"/>
      <c r="Q32" s="66"/>
      <c r="R32" s="66"/>
    </row>
    <row r="33" spans="2:18" x14ac:dyDescent="0.3">
      <c r="B33" s="67"/>
      <c r="C33" s="66"/>
      <c r="D33" s="66"/>
      <c r="E33" s="66"/>
      <c r="F33" s="66"/>
      <c r="G33" s="66"/>
      <c r="H33" s="66"/>
      <c r="I33" s="67"/>
      <c r="J33" s="67"/>
      <c r="K33" s="67"/>
      <c r="L33" s="67"/>
      <c r="M33" s="66"/>
      <c r="N33" s="66"/>
      <c r="O33" s="66"/>
      <c r="Q33" s="66"/>
      <c r="R33" s="66"/>
    </row>
    <row r="34" spans="2:18" x14ac:dyDescent="0.3">
      <c r="B34" s="67"/>
      <c r="C34" s="66"/>
      <c r="D34" s="66"/>
      <c r="E34" s="66"/>
      <c r="F34" s="66"/>
      <c r="G34" s="66"/>
      <c r="H34" s="66"/>
      <c r="I34" s="67"/>
      <c r="J34" s="67"/>
      <c r="K34" s="67"/>
      <c r="L34" s="67"/>
      <c r="M34" s="66"/>
      <c r="N34" s="66"/>
      <c r="O34" s="66"/>
      <c r="Q34" s="66"/>
      <c r="R34" s="66"/>
    </row>
    <row r="35" spans="2:18" x14ac:dyDescent="0.3">
      <c r="B35" s="67"/>
      <c r="C35" s="66"/>
      <c r="D35" s="66"/>
      <c r="E35" s="66"/>
      <c r="F35" s="66"/>
      <c r="G35" s="66"/>
      <c r="H35" s="66"/>
      <c r="I35" s="67"/>
      <c r="J35" s="67"/>
      <c r="K35" s="67"/>
      <c r="L35" s="67"/>
      <c r="M35" s="66"/>
      <c r="N35" s="66"/>
      <c r="O35" s="66"/>
      <c r="Q35" s="66"/>
      <c r="R35" s="66"/>
    </row>
    <row r="36" spans="2:18" x14ac:dyDescent="0.3">
      <c r="B36" s="67"/>
      <c r="C36" s="66"/>
      <c r="D36" s="66"/>
      <c r="E36" s="66"/>
      <c r="F36" s="66"/>
      <c r="G36" s="66"/>
      <c r="H36" s="66"/>
      <c r="I36" s="67"/>
      <c r="J36" s="67"/>
      <c r="K36" s="67"/>
      <c r="L36" s="67"/>
      <c r="M36" s="66"/>
      <c r="N36" s="66"/>
      <c r="O36" s="66"/>
      <c r="Q36" s="66"/>
      <c r="R36" s="66"/>
    </row>
    <row r="37" spans="2:18" x14ac:dyDescent="0.3">
      <c r="B37" s="67"/>
      <c r="C37" s="66"/>
      <c r="D37" s="66"/>
      <c r="E37" s="66"/>
      <c r="F37" s="66"/>
      <c r="G37" s="66"/>
      <c r="H37" s="66"/>
      <c r="I37" s="67"/>
      <c r="J37" s="67"/>
      <c r="K37" s="67"/>
      <c r="L37" s="67"/>
      <c r="M37" s="66"/>
      <c r="N37" s="66"/>
      <c r="O37" s="66"/>
      <c r="Q37" s="66"/>
      <c r="R37" s="66"/>
    </row>
    <row r="38" spans="2:18" x14ac:dyDescent="0.3">
      <c r="B38" s="67"/>
      <c r="C38" s="66"/>
      <c r="D38" s="66"/>
      <c r="E38" s="66"/>
      <c r="F38" s="66"/>
      <c r="G38" s="66"/>
      <c r="H38" s="66"/>
      <c r="I38" s="67"/>
      <c r="J38" s="67"/>
      <c r="K38" s="67"/>
      <c r="L38" s="67"/>
      <c r="M38" s="66"/>
      <c r="N38" s="66"/>
      <c r="O38" s="66"/>
      <c r="Q38" s="66"/>
      <c r="R38" s="66"/>
    </row>
    <row r="39" spans="2:18" x14ac:dyDescent="0.3">
      <c r="B39" s="67"/>
      <c r="C39" s="66"/>
      <c r="D39" s="66"/>
      <c r="E39" s="66"/>
      <c r="F39" s="66"/>
      <c r="G39" s="66"/>
      <c r="H39" s="66"/>
      <c r="I39" s="67"/>
      <c r="J39" s="67"/>
      <c r="K39" s="67"/>
      <c r="L39" s="67"/>
      <c r="M39" s="66"/>
      <c r="N39" s="66"/>
      <c r="O39" s="66"/>
      <c r="Q39" s="66"/>
      <c r="R39" s="66"/>
    </row>
  </sheetData>
  <mergeCells count="11">
    <mergeCell ref="P5:P6"/>
    <mergeCell ref="Q5:R5"/>
    <mergeCell ref="S5:S6"/>
    <mergeCell ref="E2:J2"/>
    <mergeCell ref="N2:O2"/>
    <mergeCell ref="B5:B6"/>
    <mergeCell ref="C5:E5"/>
    <mergeCell ref="F5:H5"/>
    <mergeCell ref="I5:J5"/>
    <mergeCell ref="K5:M5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Ingenieria - Cucci Adrian Augusto</dc:creator>
  <cp:lastModifiedBy>093 Ingenieria - Cucci Adrian Augusto</cp:lastModifiedBy>
  <dcterms:created xsi:type="dcterms:W3CDTF">2026-04-15T18:51:49Z</dcterms:created>
  <dcterms:modified xsi:type="dcterms:W3CDTF">2026-04-15T18:51:59Z</dcterms:modified>
</cp:coreProperties>
</file>